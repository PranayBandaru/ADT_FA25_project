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gupta\Downloads\"/>
    </mc:Choice>
  </mc:AlternateContent>
  <xr:revisionPtr revIDLastSave="0" documentId="13_ncr:1_{DC194DC1-9DA3-4B31-8304-94FA5FA64CB8}" xr6:coauthVersionLast="47" xr6:coauthVersionMax="47" xr10:uidLastSave="{00000000-0000-0000-0000-000000000000}"/>
  <bookViews>
    <workbookView xWindow="-108" yWindow="-108" windowWidth="23256" windowHeight="12456" activeTab="7" xr2:uid="{98D8024E-E084-408B-A6F0-CED346F61A39}"/>
  </bookViews>
  <sheets>
    <sheet name="Analysis" sheetId="5" r:id="rId1"/>
    <sheet name="Enrollment" sheetId="1" r:id="rId2"/>
    <sheet name="Building" sheetId="2" r:id="rId3"/>
    <sheet name="Distance" sheetId="3" r:id="rId4"/>
    <sheet name="Sector" sheetId="4" r:id="rId5"/>
    <sheet name="new Sector" sheetId="6" r:id="rId6"/>
    <sheet name="Sheet7" sheetId="7" r:id="rId7"/>
    <sheet name="New_Enrollment" sheetId="8" r:id="rId8"/>
  </sheets>
  <definedNames>
    <definedName name="_xlnm._FilterDatabase" localSheetId="2" hidden="1">Building!$A$1:$E$510</definedName>
    <definedName name="_xlnm._FilterDatabase" localSheetId="3" hidden="1">Distance!$A$1:$D$507</definedName>
    <definedName name="_xlnm._FilterDatabase" localSheetId="1" hidden="1">Enrollment!$A$1:$D$184</definedName>
    <definedName name="_xlnm._FilterDatabase" localSheetId="5" hidden="1">'new Sector'!$A$1:$A$486</definedName>
    <definedName name="_xlnm._FilterDatabase" localSheetId="7" hidden="1">New_Enrollment!$A$1:$C$249267</definedName>
    <definedName name="_xlnm._FilterDatabase" localSheetId="6" hidden="1">Sheet7!$A$1:$F$221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8" i="8" l="1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  <c r="F218" i="7"/>
  <c r="E221" i="7"/>
  <c r="E220" i="7"/>
  <c r="F214" i="7" s="1"/>
  <c r="E219" i="7"/>
  <c r="E218" i="7"/>
  <c r="E217" i="7"/>
  <c r="E216" i="7"/>
  <c r="F210" i="7" s="1"/>
  <c r="E215" i="7"/>
  <c r="E214" i="7"/>
  <c r="E213" i="7"/>
  <c r="E212" i="7"/>
  <c r="F206" i="7" s="1"/>
  <c r="E211" i="7"/>
  <c r="E210" i="7"/>
  <c r="E209" i="7"/>
  <c r="E208" i="7"/>
  <c r="F202" i="7" s="1"/>
  <c r="E207" i="7"/>
  <c r="E206" i="7"/>
  <c r="E205" i="7"/>
  <c r="E204" i="7"/>
  <c r="F198" i="7" s="1"/>
  <c r="E203" i="7"/>
  <c r="E202" i="7"/>
  <c r="E201" i="7"/>
  <c r="E200" i="7"/>
  <c r="F194" i="7" s="1"/>
  <c r="E199" i="7"/>
  <c r="E198" i="7"/>
  <c r="E197" i="7"/>
  <c r="E196" i="7"/>
  <c r="F190" i="7" s="1"/>
  <c r="E195" i="7"/>
  <c r="E194" i="7"/>
  <c r="E193" i="7"/>
  <c r="F188" i="7" s="1"/>
  <c r="E192" i="7"/>
  <c r="F182" i="7" s="1"/>
  <c r="E191" i="7"/>
  <c r="E190" i="7"/>
  <c r="E189" i="7"/>
  <c r="E188" i="7"/>
  <c r="E187" i="7"/>
  <c r="E186" i="7"/>
  <c r="E185" i="7"/>
  <c r="E184" i="7"/>
  <c r="F178" i="7" s="1"/>
  <c r="E183" i="7"/>
  <c r="E182" i="7"/>
  <c r="E181" i="7"/>
  <c r="E180" i="7"/>
  <c r="F174" i="7" s="1"/>
  <c r="E179" i="7"/>
  <c r="E178" i="7"/>
  <c r="E177" i="7"/>
  <c r="E176" i="7"/>
  <c r="F170" i="7" s="1"/>
  <c r="E175" i="7"/>
  <c r="E174" i="7"/>
  <c r="E173" i="7"/>
  <c r="E172" i="7"/>
  <c r="F166" i="7" s="1"/>
  <c r="E171" i="7"/>
  <c r="E170" i="7"/>
  <c r="E169" i="7"/>
  <c r="E168" i="7"/>
  <c r="F162" i="7" s="1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C221" i="7"/>
  <c r="F221" i="7" s="1"/>
  <c r="C220" i="7"/>
  <c r="F220" i="7" s="1"/>
  <c r="C219" i="7"/>
  <c r="F219" i="7" s="1"/>
  <c r="C218" i="7"/>
  <c r="C217" i="7"/>
  <c r="F217" i="7" s="1"/>
  <c r="C216" i="7"/>
  <c r="F216" i="7" s="1"/>
  <c r="C215" i="7"/>
  <c r="F215" i="7" s="1"/>
  <c r="C214" i="7"/>
  <c r="C213" i="7"/>
  <c r="F213" i="7" s="1"/>
  <c r="C212" i="7"/>
  <c r="F212" i="7" s="1"/>
  <c r="C211" i="7"/>
  <c r="F211" i="7" s="1"/>
  <c r="C210" i="7"/>
  <c r="C209" i="7"/>
  <c r="F209" i="7" s="1"/>
  <c r="C208" i="7"/>
  <c r="F208" i="7" s="1"/>
  <c r="C207" i="7"/>
  <c r="F207" i="7" s="1"/>
  <c r="C206" i="7"/>
  <c r="C205" i="7"/>
  <c r="F205" i="7" s="1"/>
  <c r="C204" i="7"/>
  <c r="F204" i="7" s="1"/>
  <c r="C203" i="7"/>
  <c r="F203" i="7" s="1"/>
  <c r="C202" i="7"/>
  <c r="C201" i="7"/>
  <c r="F201" i="7" s="1"/>
  <c r="C200" i="7"/>
  <c r="F200" i="7" s="1"/>
  <c r="C199" i="7"/>
  <c r="F199" i="7" s="1"/>
  <c r="C198" i="7"/>
  <c r="C197" i="7"/>
  <c r="F197" i="7" s="1"/>
  <c r="C196" i="7"/>
  <c r="F196" i="7" s="1"/>
  <c r="C195" i="7"/>
  <c r="F195" i="7" s="1"/>
  <c r="C194" i="7"/>
  <c r="C193" i="7"/>
  <c r="F193" i="7" s="1"/>
  <c r="C192" i="7"/>
  <c r="F192" i="7" s="1"/>
  <c r="C191" i="7"/>
  <c r="F191" i="7" s="1"/>
  <c r="C190" i="7"/>
  <c r="C189" i="7"/>
  <c r="F189" i="7" s="1"/>
  <c r="C188" i="7"/>
  <c r="C187" i="7"/>
  <c r="F187" i="7" s="1"/>
  <c r="C186" i="7"/>
  <c r="C185" i="7"/>
  <c r="F185" i="7" s="1"/>
  <c r="C184" i="7"/>
  <c r="F184" i="7" s="1"/>
  <c r="C183" i="7"/>
  <c r="F183" i="7" s="1"/>
  <c r="C182" i="7"/>
  <c r="C181" i="7"/>
  <c r="F181" i="7" s="1"/>
  <c r="C180" i="7"/>
  <c r="F180" i="7" s="1"/>
  <c r="C179" i="7"/>
  <c r="F179" i="7" s="1"/>
  <c r="C178" i="7"/>
  <c r="C177" i="7"/>
  <c r="F177" i="7" s="1"/>
  <c r="C176" i="7"/>
  <c r="F176" i="7" s="1"/>
  <c r="C175" i="7"/>
  <c r="F175" i="7" s="1"/>
  <c r="C174" i="7"/>
  <c r="C173" i="7"/>
  <c r="F173" i="7" s="1"/>
  <c r="C172" i="7"/>
  <c r="F172" i="7" s="1"/>
  <c r="C171" i="7"/>
  <c r="F171" i="7" s="1"/>
  <c r="C170" i="7"/>
  <c r="C169" i="7"/>
  <c r="F169" i="7" s="1"/>
  <c r="C168" i="7"/>
  <c r="F168" i="7" s="1"/>
  <c r="C167" i="7"/>
  <c r="F167" i="7" s="1"/>
  <c r="C166" i="7"/>
  <c r="C165" i="7"/>
  <c r="F165" i="7" s="1"/>
  <c r="C164" i="7"/>
  <c r="F164" i="7" s="1"/>
  <c r="C163" i="7"/>
  <c r="F163" i="7" s="1"/>
  <c r="C162" i="7"/>
  <c r="C161" i="7"/>
  <c r="C160" i="7"/>
  <c r="F160" i="7" s="1"/>
  <c r="C159" i="7"/>
  <c r="F159" i="7" s="1"/>
  <c r="C158" i="7"/>
  <c r="C157" i="7"/>
  <c r="C156" i="7"/>
  <c r="C155" i="7"/>
  <c r="C154" i="7"/>
  <c r="C153" i="7"/>
  <c r="C152" i="7"/>
  <c r="C151" i="7"/>
  <c r="C150" i="7"/>
  <c r="C149" i="7"/>
  <c r="C148" i="7"/>
  <c r="C147" i="7"/>
  <c r="F147" i="7" s="1"/>
  <c r="C146" i="7"/>
  <c r="C145" i="7"/>
  <c r="C144" i="7"/>
  <c r="C143" i="7"/>
  <c r="C142" i="7"/>
  <c r="C141" i="7"/>
  <c r="C140" i="7"/>
  <c r="C139" i="7"/>
  <c r="F139" i="7" s="1"/>
  <c r="C138" i="7"/>
  <c r="C137" i="7"/>
  <c r="C136" i="7"/>
  <c r="C135" i="7"/>
  <c r="F135" i="7" s="1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F119" i="7" s="1"/>
  <c r="C118" i="7"/>
  <c r="C117" i="7"/>
  <c r="C116" i="7"/>
  <c r="C115" i="7"/>
  <c r="F115" i="7" s="1"/>
  <c r="C114" i="7"/>
  <c r="C113" i="7"/>
  <c r="C112" i="7"/>
  <c r="C111" i="7"/>
  <c r="C110" i="7"/>
  <c r="C109" i="7"/>
  <c r="C108" i="7"/>
  <c r="C107" i="7"/>
  <c r="F107" i="7" s="1"/>
  <c r="C106" i="7"/>
  <c r="C105" i="7"/>
  <c r="C104" i="7"/>
  <c r="C103" i="7"/>
  <c r="F103" i="7" s="1"/>
  <c r="C102" i="7"/>
  <c r="C101" i="7"/>
  <c r="C100" i="7"/>
  <c r="C99" i="7"/>
  <c r="C98" i="7"/>
  <c r="C97" i="7"/>
  <c r="C96" i="7"/>
  <c r="C95" i="7"/>
  <c r="C94" i="7"/>
  <c r="C93" i="7"/>
  <c r="C92" i="7"/>
  <c r="C91" i="7"/>
  <c r="F91" i="7" s="1"/>
  <c r="C90" i="7"/>
  <c r="C89" i="7"/>
  <c r="C88" i="7"/>
  <c r="C87" i="7"/>
  <c r="F87" i="7" s="1"/>
  <c r="C86" i="7"/>
  <c r="C85" i="7"/>
  <c r="C84" i="7"/>
  <c r="C83" i="7"/>
  <c r="C82" i="7"/>
  <c r="C81" i="7"/>
  <c r="C80" i="7"/>
  <c r="C79" i="7"/>
  <c r="F79" i="7" s="1"/>
  <c r="C78" i="7"/>
  <c r="C77" i="7"/>
  <c r="C76" i="7"/>
  <c r="C75" i="7"/>
  <c r="F75" i="7" s="1"/>
  <c r="C74" i="7"/>
  <c r="C73" i="7"/>
  <c r="C72" i="7"/>
  <c r="C71" i="7"/>
  <c r="F71" i="7" s="1"/>
  <c r="C70" i="7"/>
  <c r="C69" i="7"/>
  <c r="C68" i="7"/>
  <c r="C67" i="7"/>
  <c r="C66" i="7"/>
  <c r="C65" i="7"/>
  <c r="C64" i="7"/>
  <c r="C63" i="7"/>
  <c r="F63" i="7" s="1"/>
  <c r="C62" i="7"/>
  <c r="C61" i="7"/>
  <c r="C60" i="7"/>
  <c r="C59" i="7"/>
  <c r="F59" i="7" s="1"/>
  <c r="C58" i="7"/>
  <c r="C57" i="7"/>
  <c r="C56" i="7"/>
  <c r="C55" i="7"/>
  <c r="F55" i="7" s="1"/>
  <c r="C54" i="7"/>
  <c r="C53" i="7"/>
  <c r="C52" i="7"/>
  <c r="C51" i="7"/>
  <c r="C50" i="7"/>
  <c r="C49" i="7"/>
  <c r="C48" i="7"/>
  <c r="C47" i="7"/>
  <c r="F47" i="7" s="1"/>
  <c r="C46" i="7"/>
  <c r="C45" i="7"/>
  <c r="C44" i="7"/>
  <c r="C43" i="7"/>
  <c r="F43" i="7" s="1"/>
  <c r="C42" i="7"/>
  <c r="C41" i="7"/>
  <c r="C40" i="7"/>
  <c r="C39" i="7"/>
  <c r="F39" i="7" s="1"/>
  <c r="C38" i="7"/>
  <c r="C37" i="7"/>
  <c r="C36" i="7"/>
  <c r="C35" i="7"/>
  <c r="F35" i="7" s="1"/>
  <c r="C34" i="7"/>
  <c r="C33" i="7"/>
  <c r="F33" i="7" s="1"/>
  <c r="C32" i="7"/>
  <c r="C31" i="7"/>
  <c r="F31" i="7" s="1"/>
  <c r="C30" i="7"/>
  <c r="C29" i="7"/>
  <c r="C28" i="7"/>
  <c r="F28" i="7" s="1"/>
  <c r="C27" i="7"/>
  <c r="F27" i="7" s="1"/>
  <c r="C26" i="7"/>
  <c r="C25" i="7"/>
  <c r="C24" i="7"/>
  <c r="C23" i="7"/>
  <c r="F23" i="7" s="1"/>
  <c r="C22" i="7"/>
  <c r="C21" i="7"/>
  <c r="C20" i="7"/>
  <c r="C19" i="7"/>
  <c r="C18" i="7"/>
  <c r="C17" i="7"/>
  <c r="C16" i="7"/>
  <c r="C15" i="7"/>
  <c r="F15" i="7" s="1"/>
  <c r="C14" i="7"/>
  <c r="C13" i="7"/>
  <c r="C12" i="7"/>
  <c r="C11" i="7"/>
  <c r="F11" i="7" s="1"/>
  <c r="C10" i="7"/>
  <c r="C9" i="7"/>
  <c r="C8" i="7"/>
  <c r="C7" i="7"/>
  <c r="C6" i="7"/>
  <c r="C5" i="7"/>
  <c r="F5" i="7" s="1"/>
  <c r="C4" i="7"/>
  <c r="C3" i="7"/>
  <c r="C2" i="7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2" i="2"/>
  <c r="D2" i="4"/>
  <c r="C2" i="4"/>
  <c r="B2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C2" i="3"/>
  <c r="D2" i="3"/>
  <c r="B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2" i="2"/>
  <c r="D2" i="2"/>
  <c r="C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D2" i="1"/>
  <c r="C2" i="1"/>
  <c r="B2" i="1"/>
  <c r="F151" i="7" l="1"/>
  <c r="F161" i="7"/>
  <c r="F186" i="7"/>
  <c r="F36" i="7"/>
  <c r="F44" i="7"/>
  <c r="F72" i="7"/>
  <c r="F88" i="7"/>
  <c r="F96" i="7"/>
  <c r="F112" i="7"/>
  <c r="F124" i="7"/>
  <c r="F144" i="7"/>
  <c r="F17" i="7"/>
  <c r="F21" i="7"/>
  <c r="F25" i="7"/>
  <c r="F37" i="7"/>
  <c r="F41" i="7"/>
  <c r="F49" i="7"/>
  <c r="F53" i="7"/>
  <c r="F57" i="7"/>
  <c r="F69" i="7"/>
  <c r="F81" i="7"/>
  <c r="F89" i="7"/>
  <c r="F93" i="7"/>
  <c r="F97" i="7"/>
  <c r="F101" i="7"/>
  <c r="F105" i="7"/>
  <c r="F113" i="7"/>
  <c r="F117" i="7"/>
  <c r="F121" i="7"/>
  <c r="F125" i="7"/>
  <c r="F145" i="7"/>
  <c r="F149" i="7"/>
  <c r="F157" i="7"/>
  <c r="F3" i="7"/>
  <c r="F9" i="7"/>
  <c r="F14" i="7"/>
  <c r="F18" i="7"/>
  <c r="F22" i="7"/>
  <c r="F29" i="7"/>
  <c r="F34" i="7"/>
  <c r="F42" i="7"/>
  <c r="F50" i="7"/>
  <c r="F77" i="7"/>
  <c r="F86" i="7"/>
  <c r="F94" i="7"/>
  <c r="F118" i="7"/>
  <c r="F122" i="7"/>
  <c r="F129" i="7"/>
  <c r="F141" i="7"/>
  <c r="F148" i="7"/>
  <c r="F153" i="7"/>
  <c r="F4" i="7"/>
  <c r="F24" i="7"/>
  <c r="F32" i="7"/>
  <c r="F40" i="7"/>
  <c r="F48" i="7"/>
  <c r="F68" i="7"/>
  <c r="F76" i="7"/>
  <c r="F84" i="7"/>
  <c r="F92" i="7"/>
  <c r="F104" i="7"/>
  <c r="F116" i="7"/>
  <c r="F136" i="7"/>
  <c r="F156" i="7"/>
  <c r="F137" i="7"/>
  <c r="F152" i="7"/>
  <c r="F2" i="7"/>
  <c r="F30" i="7"/>
  <c r="F154" i="7"/>
  <c r="F158" i="7"/>
  <c r="F155" i="7"/>
  <c r="F19" i="7"/>
  <c r="F61" i="7"/>
  <c r="F67" i="7"/>
  <c r="F83" i="7"/>
  <c r="F99" i="7"/>
  <c r="F111" i="7"/>
  <c r="F131" i="7"/>
  <c r="F12" i="7"/>
  <c r="F13" i="7"/>
  <c r="F20" i="7"/>
  <c r="F45" i="7"/>
  <c r="F52" i="7"/>
  <c r="F64" i="7"/>
  <c r="F95" i="7"/>
  <c r="F100" i="7"/>
  <c r="F108" i="7"/>
  <c r="F120" i="7"/>
  <c r="F98" i="7"/>
  <c r="F102" i="7"/>
  <c r="F56" i="7"/>
  <c r="F65" i="7"/>
  <c r="F73" i="7"/>
  <c r="F80" i="7"/>
  <c r="F85" i="7"/>
  <c r="F109" i="7"/>
  <c r="F133" i="7"/>
  <c r="F6" i="7"/>
  <c r="F26" i="7"/>
  <c r="F38" i="7"/>
  <c r="F46" i="7"/>
  <c r="F58" i="7"/>
  <c r="F70" i="7"/>
  <c r="F82" i="7"/>
  <c r="F114" i="7"/>
  <c r="F130" i="7"/>
  <c r="F7" i="7"/>
  <c r="F51" i="7"/>
  <c r="F123" i="7"/>
  <c r="F127" i="7"/>
  <c r="F143" i="7"/>
  <c r="F10" i="7"/>
  <c r="F54" i="7"/>
  <c r="F66" i="7"/>
  <c r="F78" i="7"/>
  <c r="F90" i="7"/>
  <c r="F110" i="7"/>
  <c r="F126" i="7"/>
  <c r="F138" i="7"/>
  <c r="F142" i="7"/>
  <c r="F146" i="7"/>
  <c r="F150" i="7"/>
  <c r="F8" i="7"/>
  <c r="F16" i="7"/>
  <c r="F60" i="7"/>
  <c r="F128" i="7"/>
  <c r="F132" i="7"/>
  <c r="F140" i="7"/>
  <c r="F62" i="7"/>
  <c r="F74" i="7"/>
  <c r="F106" i="7"/>
  <c r="F134" i="7"/>
</calcChain>
</file>

<file path=xl/sharedStrings.xml><?xml version="1.0" encoding="utf-8"?>
<sst xmlns="http://schemas.openxmlformats.org/spreadsheetml/2006/main" count="2579" uniqueCount="1026">
  <si>
    <t>building</t>
  </si>
  <si>
    <t>BALLANTINE HALL</t>
  </si>
  <si>
    <t>BLDG NOT ASSIGNED</t>
  </si>
  <si>
    <t>FRANKLIN HALL</t>
  </si>
  <si>
    <t>GLOBAL &amp; INTL STUDIES BLDG</t>
  </si>
  <si>
    <t>HEALTH INFO AND TRANSLATIONAL</t>
  </si>
  <si>
    <t>HODGE HALL (BUSINESS SCHOOL)</t>
  </si>
  <si>
    <t>KIRKWOOD HALL</t>
  </si>
  <si>
    <t>LEE NORVELLE THEATRE DRAMA/ NE</t>
  </si>
  <si>
    <t>LINDLEY HALL</t>
  </si>
  <si>
    <t>LUDDY HALL (INFORMATICS)</t>
  </si>
  <si>
    <t>PSYCHOLOGY</t>
  </si>
  <si>
    <t>SCHOOL OF PUBLIC HEALTH</t>
  </si>
  <si>
    <t>SIMON MSC LBR REC</t>
  </si>
  <si>
    <t>SPEA</t>
  </si>
  <si>
    <t>SPRUCE HALL</t>
  </si>
  <si>
    <t>STUDENT BUILDING (FRANCES MORG</t>
  </si>
  <si>
    <t>WENDELL W. WRIGHT</t>
  </si>
  <si>
    <t>WOODBURN HALL</t>
  </si>
  <si>
    <t>WYLIE HALL</t>
  </si>
  <si>
    <t>\N</t>
  </si>
  <si>
    <t>NORTHSIDE HALL</t>
  </si>
  <si>
    <t>BUSINESS/SPEA</t>
  </si>
  <si>
    <t>EDUCATION/SOCIAL WORK</t>
  </si>
  <si>
    <t>ENG SCIENCE &amp; TECHNOLOGY</t>
  </si>
  <si>
    <t>ENGINEERING &amp; TECHNOLOGY</t>
  </si>
  <si>
    <t>ESKENAZI HALL</t>
  </si>
  <si>
    <t>GLICK EYE INSTITUTE</t>
  </si>
  <si>
    <t>GODFREY GRAD&amp;EXEC ED CTR</t>
  </si>
  <si>
    <t>INLOW HALL</t>
  </si>
  <si>
    <t>NORTH HALL</t>
  </si>
  <si>
    <t>NURSING SCHOOL</t>
  </si>
  <si>
    <t>OFF-CAMPUS CLASS</t>
  </si>
  <si>
    <t>SCIENCE BUILDING</t>
  </si>
  <si>
    <t>SIMON SKJODT ASSEMBLY HALL</t>
  </si>
  <si>
    <t>TAYLOR HALL</t>
  </si>
  <si>
    <t>UNIVERSITY HALL</t>
  </si>
  <si>
    <t>WEB-BASED CLASS</t>
  </si>
  <si>
    <t>CAVANAUGH HALL</t>
  </si>
  <si>
    <t>ICTC</t>
  </si>
  <si>
    <t>LOWELL E. BAIER HALL</t>
  </si>
  <si>
    <t>4TH &amp; INDIANA-LEWIS BLDG</t>
  </si>
  <si>
    <t>BUILDING NOT YET ASSIGNED</t>
  </si>
  <si>
    <t>HINE HALL</t>
  </si>
  <si>
    <t>LONG HALL</t>
  </si>
  <si>
    <t>ADV MANUF CTR EXCELLENCE</t>
  </si>
  <si>
    <t>ARTS &amp; SCIENCES</t>
  </si>
  <si>
    <t>AUDITORIUM</t>
  </si>
  <si>
    <t>BILL GARRETT FIELDHOUSE</t>
  </si>
  <si>
    <t>BIOLOGY BUILDING</t>
  </si>
  <si>
    <t>BRICE E. HAYES HALL</t>
  </si>
  <si>
    <t>BRISCOE QUAD</t>
  </si>
  <si>
    <t>CEDAR HALL</t>
  </si>
  <si>
    <t>CHEMISTRY</t>
  </si>
  <si>
    <t>CHEMISTRY ADDITION</t>
  </si>
  <si>
    <t>CLASSROOM-OFFICE BUILDING</t>
  </si>
  <si>
    <t>COLEMAN HALL</t>
  </si>
  <si>
    <t>COUGAR CENTER</t>
  </si>
  <si>
    <t>CRESTVIEW HALL</t>
  </si>
  <si>
    <t>DOLNICK CENTER</t>
  </si>
  <si>
    <t>DUNES MED/PROF BLDG</t>
  </si>
  <si>
    <t>EAST STUDIO BUILDING</t>
  </si>
  <si>
    <t>EDMONDSON HALL</t>
  </si>
  <si>
    <t>EDUCATION &amp; ARTS</t>
  </si>
  <si>
    <t>ELKHART CNTR II</t>
  </si>
  <si>
    <t>ERNIE PYLE HALL</t>
  </si>
  <si>
    <t>ESKENAZI FAC 2</t>
  </si>
  <si>
    <t>ESKENAZI SCHL / MIES VAN DER R</t>
  </si>
  <si>
    <t>ESKENAZI WOOD AND METAL SHOP</t>
  </si>
  <si>
    <t>FESLER HALL</t>
  </si>
  <si>
    <t>FINE ARTS</t>
  </si>
  <si>
    <t>FOREST QUAD</t>
  </si>
  <si>
    <t>GEOLOGICAL SCIENCES</t>
  </si>
  <si>
    <t>GRESHAM DINING HALL</t>
  </si>
  <si>
    <t>HAWTHORN HALL</t>
  </si>
  <si>
    <t>HILLSIDE HALL</t>
  </si>
  <si>
    <t>HUNT HALL</t>
  </si>
  <si>
    <t>HUTTON HONORS COLLEGE</t>
  </si>
  <si>
    <t>Hillel Center</t>
  </si>
  <si>
    <t>INNOVATION HALL</t>
  </si>
  <si>
    <t>IUPU COLUMBUS</t>
  </si>
  <si>
    <t>Informatics East</t>
  </si>
  <si>
    <t>JEFFERSONVILLE GRAD CENTER</t>
  </si>
  <si>
    <t>KETTLER HALL</t>
  </si>
  <si>
    <t>KNOBVIEW HALL</t>
  </si>
  <si>
    <t>KOKOMO EAST</t>
  </si>
  <si>
    <t>KOKOMO LIBRARY</t>
  </si>
  <si>
    <t>KOKOMO MAIN</t>
  </si>
  <si>
    <t>LEARNING CENTER</t>
  </si>
  <si>
    <t>LECTURE HALL</t>
  </si>
  <si>
    <t>LIBERAL ARTS</t>
  </si>
  <si>
    <t>LIBRARY IUSE</t>
  </si>
  <si>
    <t>LIFE SCIENCE</t>
  </si>
  <si>
    <t>LUDDY CENTER FOR AI</t>
  </si>
  <si>
    <t>MADAM WALKER LEGACY CENTER</t>
  </si>
  <si>
    <t>MARCHING HUNDRED HALL (RAY E C</t>
  </si>
  <si>
    <t>MARRAM HALL</t>
  </si>
  <si>
    <t>MCNUTT CENTRAL</t>
  </si>
  <si>
    <t>MEDICAL RESEARCH &amp; LIBRARY</t>
  </si>
  <si>
    <t>MERRILL HALL</t>
  </si>
  <si>
    <t>MODULAR CLINIC</t>
  </si>
  <si>
    <t>MORRISON HALL</t>
  </si>
  <si>
    <t>MUSIC ADDITION</t>
  </si>
  <si>
    <t>MUSICAL ARTS CENTER</t>
  </si>
  <si>
    <t>MYERS HALL</t>
  </si>
  <si>
    <t>MYLES BRAND HALL</t>
  </si>
  <si>
    <t>NATATORIUM</t>
  </si>
  <si>
    <t>NEFF HALL</t>
  </si>
  <si>
    <t>OGLE CENTER</t>
  </si>
  <si>
    <t>OPTOMETRY SCHOOL</t>
  </si>
  <si>
    <t>Online Class</t>
  </si>
  <si>
    <t>PHYSICAL SCIENCE</t>
  </si>
  <si>
    <t>RADIO-TV</t>
  </si>
  <si>
    <t>RAINTREE HALL</t>
  </si>
  <si>
    <t>RAWLES HALL</t>
  </si>
  <si>
    <t>READ HALL</t>
  </si>
  <si>
    <t>RECREATIONAL SPORTS</t>
  </si>
  <si>
    <t>RHINEHART MUSIC CENTER</t>
  </si>
  <si>
    <t>SAVANNAH CENTER</t>
  </si>
  <si>
    <t>SB LOCAL HOSPITAL</t>
  </si>
  <si>
    <t>SCHURZ LIBRARY</t>
  </si>
  <si>
    <t>SCIENCE AND ENGINEERING LABORA</t>
  </si>
  <si>
    <t>SIMON HALL (SCIENCE)</t>
  </si>
  <si>
    <t>SOCIAL RESEARCH</t>
  </si>
  <si>
    <t>SPRINGWOOD HALL</t>
  </si>
  <si>
    <t>STUDENT ACTIVITIES</t>
  </si>
  <si>
    <t>STUDENT SERVICES</t>
  </si>
  <si>
    <t>STUDIO ARTS ANNEX</t>
  </si>
  <si>
    <t>SWAIN EAST</t>
  </si>
  <si>
    <t>SWAIN WEST</t>
  </si>
  <si>
    <t>TETER QUAD</t>
  </si>
  <si>
    <t>THE HEALTH SCIENCES BUILDING</t>
  </si>
  <si>
    <t>TOM RAPER HALL</t>
  </si>
  <si>
    <t>UNIVERSITY CENTER</t>
  </si>
  <si>
    <t>VANNUYS MED SCI BLDG</t>
  </si>
  <si>
    <t>VERA Z. DWYER HALL</t>
  </si>
  <si>
    <t>WALTHER HALL</t>
  </si>
  <si>
    <t>WELLS LIBRARY</t>
  </si>
  <si>
    <t>WHITEWATER HALL</t>
  </si>
  <si>
    <t>WIEKAMP HALL</t>
  </si>
  <si>
    <t>WILLKIE C</t>
  </si>
  <si>
    <t>WRIGHT QUAD</t>
  </si>
  <si>
    <t>1721 LINCOLN WAY EAST</t>
  </si>
  <si>
    <t>CANCER RESEARCH INSTITUTE</t>
  </si>
  <si>
    <t>CIVIL RIGHTS HERITAGE CENTER</t>
  </si>
  <si>
    <t>DALY STUDENT CENTER</t>
  </si>
  <si>
    <t>GATES ATHLETICS CENTER</t>
  </si>
  <si>
    <t>HARLOS HOUSE</t>
  </si>
  <si>
    <t>IU INNOVATION CTR-INDIANAPOLIS</t>
  </si>
  <si>
    <t>IU MUSEUM OF ARCHAEOLOGY &amp; ANT</t>
  </si>
  <si>
    <t>IUE Ivy Tech Madison</t>
  </si>
  <si>
    <t>IUPUI ATHLETIC AND FITNESS CEN</t>
  </si>
  <si>
    <t>LILLY LIBRARY</t>
  </si>
  <si>
    <t>MODULAR BUILDING</t>
  </si>
  <si>
    <t>NEUROSCIENCE RESEARCH BLDG</t>
  </si>
  <si>
    <t>UNIVERSITY LIBRARY</t>
  </si>
  <si>
    <t>VISUAL ARTS</t>
  </si>
  <si>
    <t>HILLCREST</t>
  </si>
  <si>
    <t>MCCALLA</t>
  </si>
  <si>
    <t>IVY TECH LAWRENCEBURG</t>
  </si>
  <si>
    <t>ADMINISTRATION BLDG</t>
  </si>
  <si>
    <t>701 E 8TH ST</t>
  </si>
  <si>
    <t>GLADSTEIN FIELDHOUSE</t>
  </si>
  <si>
    <t>HEALTH SCIENCES BUILDING</t>
  </si>
  <si>
    <t>IN MEMORIAL UNION</t>
  </si>
  <si>
    <t>MUSIC CENTER</t>
  </si>
  <si>
    <t>SYCAMORE HALL</t>
  </si>
  <si>
    <t>CAMPUS CENTER</t>
  </si>
  <si>
    <t>ENGINEERING TECH.&amp;COMP.SCI.</t>
  </si>
  <si>
    <t>LECTURE/OBSERVATORY</t>
  </si>
  <si>
    <t>MARTIN HALL</t>
  </si>
  <si>
    <t>MULTI SCIENCE 2</t>
  </si>
  <si>
    <t>SB LOCAL SCHOOLS</t>
  </si>
  <si>
    <t>SIDNEY &amp; LOIS ESKENAZI MUSEUM</t>
  </si>
  <si>
    <t>BALL ANNEX</t>
  </si>
  <si>
    <t>UNIV CTR NORTH</t>
  </si>
  <si>
    <t>EMERGING GROWTH CENTER BUILDIN</t>
  </si>
  <si>
    <t>EIGENMANN HALL</t>
  </si>
  <si>
    <t>814 E 3RD ST</t>
  </si>
  <si>
    <t>UNIVERSITY TOWER</t>
  </si>
  <si>
    <t>IU CINEMA</t>
  </si>
  <si>
    <t>MULTIDISCIPLINARY ENG AND SCI</t>
  </si>
  <si>
    <t>PARKSIDE HALL</t>
  </si>
  <si>
    <t>MAXWELL HALL</t>
  </si>
  <si>
    <t>FACIL_BLDG_DESC</t>
  </si>
  <si>
    <t>SITE</t>
  </si>
  <si>
    <t>502 E 4TH ST</t>
  </si>
  <si>
    <t>BRYAN HALL</t>
  </si>
  <si>
    <t>CARMICHAEL CENTER</t>
  </si>
  <si>
    <t>VON LEE</t>
  </si>
  <si>
    <t>POPLARS PARKING</t>
  </si>
  <si>
    <t>CTR REP GOVERNMENT</t>
  </si>
  <si>
    <t>214 N DUNN ST</t>
  </si>
  <si>
    <t>222 N DUNN ST</t>
  </si>
  <si>
    <t>215 N INDIANA AVE</t>
  </si>
  <si>
    <t>307-309 N INDIANA AVE</t>
  </si>
  <si>
    <t>IU MUSEUM OF ARCHAEOLOGY &amp; ANTHROPOLOGY</t>
  </si>
  <si>
    <t>409 N INDIANA AVE</t>
  </si>
  <si>
    <t>502 E 9TH ST</t>
  </si>
  <si>
    <t>419 N INDIANA AVE</t>
  </si>
  <si>
    <t>LGBTQ+ CULTURE CENTER</t>
  </si>
  <si>
    <t>LATINO CULTURAL CENTER</t>
  </si>
  <si>
    <t>406 N FESS AVE</t>
  </si>
  <si>
    <t>406 N FESS GARAGE</t>
  </si>
  <si>
    <t>AMERICAN INDIAN STUDIES</t>
  </si>
  <si>
    <t>521 N PARK AVE</t>
  </si>
  <si>
    <t>615 E 11TH ST</t>
  </si>
  <si>
    <t>620 E 11TH ST</t>
  </si>
  <si>
    <t>621 E 11TH ST</t>
  </si>
  <si>
    <t>722 N INDIANA AVE</t>
  </si>
  <si>
    <t>622 E 11TH ST</t>
  </si>
  <si>
    <t>716 N INDIANA AVE</t>
  </si>
  <si>
    <t>718 N INDIANA AVE</t>
  </si>
  <si>
    <t>800 N INDIANA AVE</t>
  </si>
  <si>
    <t>STUDENT BUILDING (FRANCES MORGAN SWAIN)</t>
  </si>
  <si>
    <t>KIRKWOOD OBSERVATORY</t>
  </si>
  <si>
    <t>314 DUNN ST</t>
  </si>
  <si>
    <t>507-509 E 7TH ST</t>
  </si>
  <si>
    <t>518 E 7TH ST</t>
  </si>
  <si>
    <t>527 E 7TH ST</t>
  </si>
  <si>
    <t>528 E 7TH ST</t>
  </si>
  <si>
    <t>630 E 3RD ST</t>
  </si>
  <si>
    <t>618 E 3RD ST</t>
  </si>
  <si>
    <t>624 E 3RD ST</t>
  </si>
  <si>
    <t>324 S HENDERSON ST</t>
  </si>
  <si>
    <t>209 S DUNN ST</t>
  </si>
  <si>
    <t>514 E 3RD ST</t>
  </si>
  <si>
    <t>509 E 3RD ST</t>
  </si>
  <si>
    <t>314 S HENDERSON ST</t>
  </si>
  <si>
    <t>508 E 3RD ST</t>
  </si>
  <si>
    <t>ROSE WELL HOUSE</t>
  </si>
  <si>
    <t>309-311 N PARK AVE</t>
  </si>
  <si>
    <t>712 E 8TH ST</t>
  </si>
  <si>
    <t>717 E 8TH ST</t>
  </si>
  <si>
    <t>405-407 N PARK AVE</t>
  </si>
  <si>
    <t>409 N PARK AVE</t>
  </si>
  <si>
    <t>801 E 9TH ST</t>
  </si>
  <si>
    <t>701 E 10TH ST</t>
  </si>
  <si>
    <t>E-HOUSE</t>
  </si>
  <si>
    <t>611 N PARK AVE</t>
  </si>
  <si>
    <t>501 N PARK AVE</t>
  </si>
  <si>
    <t>520 N INDIANA AVE</t>
  </si>
  <si>
    <t>515 N PARK AVE</t>
  </si>
  <si>
    <t>417 N INDIANA AVE</t>
  </si>
  <si>
    <t>417 N INDIANA GARAGE</t>
  </si>
  <si>
    <t>KNEE-HIGH DAYCARE</t>
  </si>
  <si>
    <t>516 N INDIANA AVE</t>
  </si>
  <si>
    <t>708 E 11TH ST</t>
  </si>
  <si>
    <t>708 E 11TH ST GARAGE</t>
  </si>
  <si>
    <t>506-508 N FESS AVE</t>
  </si>
  <si>
    <t>509 N FESS AVE</t>
  </si>
  <si>
    <t>509 N FESS GARAGE</t>
  </si>
  <si>
    <t>504 N FESS AVE</t>
  </si>
  <si>
    <t>520 N FESS AVE</t>
  </si>
  <si>
    <t>SUNFLOWER DAYCARE</t>
  </si>
  <si>
    <t>505 N PARK AVE</t>
  </si>
  <si>
    <t>710 E COTTAGE GROVE</t>
  </si>
  <si>
    <t>516 N FESS AVE</t>
  </si>
  <si>
    <t>502 N INDIANA AVE</t>
  </si>
  <si>
    <t>519 N FESS</t>
  </si>
  <si>
    <t>506 N INDIANA AVE</t>
  </si>
  <si>
    <t>528 N INDIANA AVE</t>
  </si>
  <si>
    <t>CRAVENS HALL</t>
  </si>
  <si>
    <t>SMITH HALL</t>
  </si>
  <si>
    <t>809 E 9TH ST</t>
  </si>
  <si>
    <t>704 E 8TH ST</t>
  </si>
  <si>
    <t>714 E 8TH ST</t>
  </si>
  <si>
    <t>715 E 8TH ST</t>
  </si>
  <si>
    <t>708 E 8TH ST</t>
  </si>
  <si>
    <t>502 N FESS AVE</t>
  </si>
  <si>
    <t>309 N WOODLAWN AVE</t>
  </si>
  <si>
    <t>421 N PARK AVE</t>
  </si>
  <si>
    <t>612 N PARK AVE</t>
  </si>
  <si>
    <t>310-312 N PARK AVE</t>
  </si>
  <si>
    <t>HARRIS HOUSE</t>
  </si>
  <si>
    <t>IMU GUARD HUT</t>
  </si>
  <si>
    <t>OWEN HALL</t>
  </si>
  <si>
    <t>ATWATER EYE CARE CENTER</t>
  </si>
  <si>
    <t>HENDERSON PARKING GARAGE</t>
  </si>
  <si>
    <t>ATWATER PARKING</t>
  </si>
  <si>
    <t>8TH ST HUT (HPER)</t>
  </si>
  <si>
    <t>BECK CHAPEL</t>
  </si>
  <si>
    <t>GOODBODY HALL</t>
  </si>
  <si>
    <t>7TH ST HUT</t>
  </si>
  <si>
    <t>BRYAN HOUSE</t>
  </si>
  <si>
    <t>MEMORIAL HALL</t>
  </si>
  <si>
    <t>MUSIC PRACTICE</t>
  </si>
  <si>
    <t>SIDNEY &amp; LOIS ESKENAZI MUSEUM OF ART</t>
  </si>
  <si>
    <t>ARBORETUM</t>
  </si>
  <si>
    <t>LEE NORVELLE THEATRE DRAMA/ NEAL&amp;MARS</t>
  </si>
  <si>
    <t>MAC MACHINE ROOM 100</t>
  </si>
  <si>
    <t>1815 E ATWATER AVE</t>
  </si>
  <si>
    <t>ESKENAZI SCHL / MIES VAN DER ROHE BLDG</t>
  </si>
  <si>
    <t>316 N EAGLESON AVE</t>
  </si>
  <si>
    <t>300 N EAGLESON AVE</t>
  </si>
  <si>
    <t>EAST PARKING GARAGE</t>
  </si>
  <si>
    <t>BICENTENNIAL CARILLON</t>
  </si>
  <si>
    <t>GAZEBO-ARBORETUM</t>
  </si>
  <si>
    <t>INTERNATIONAL CENTER</t>
  </si>
  <si>
    <t>330 S EASTSIDE DR</t>
  </si>
  <si>
    <t>315 S MITCHELL ST</t>
  </si>
  <si>
    <t>319 S MITCHELL ST</t>
  </si>
  <si>
    <t>UNIVERSITY APT EAST</t>
  </si>
  <si>
    <t>1514 E 3RD ST</t>
  </si>
  <si>
    <t>1600 E 3RD ST</t>
  </si>
  <si>
    <t>1610 E 3RD ST</t>
  </si>
  <si>
    <t>1610 E 3RD ST GARAGE</t>
  </si>
  <si>
    <t>1708 E 3RD ST</t>
  </si>
  <si>
    <t>401 S EASTSIDE DR</t>
  </si>
  <si>
    <t>325 S ARBUTUS DR</t>
  </si>
  <si>
    <t>FOREST QUAD CHILLER</t>
  </si>
  <si>
    <t>1812 E 3RD ST</t>
  </si>
  <si>
    <t>HERSHEY HALL</t>
  </si>
  <si>
    <t>JOHNSTON HALL</t>
  </si>
  <si>
    <t>VOS HALL</t>
  </si>
  <si>
    <t>HICKORY HALL</t>
  </si>
  <si>
    <t>BIRCH HALL</t>
  </si>
  <si>
    <t>LINDEN HALL</t>
  </si>
  <si>
    <t>CYPRESS HALL</t>
  </si>
  <si>
    <t>BEECH HALL</t>
  </si>
  <si>
    <t>PINE HALL</t>
  </si>
  <si>
    <t>UNION ST CHILLER</t>
  </si>
  <si>
    <t>MOFFAT HALL</t>
  </si>
  <si>
    <t>GRIGGS LOUNGE</t>
  </si>
  <si>
    <t>DREISER HALL</t>
  </si>
  <si>
    <t>STEMPEL HALL</t>
  </si>
  <si>
    <t>BARNES LOUNGE</t>
  </si>
  <si>
    <t>209 S UNION ST</t>
  </si>
  <si>
    <t>211 S UNION ST</t>
  </si>
  <si>
    <t>211 S UNION GARAGE</t>
  </si>
  <si>
    <t>1902 E 3RD ST</t>
  </si>
  <si>
    <t>2101 E 3RD ST</t>
  </si>
  <si>
    <t>2027 E 3RD ST</t>
  </si>
  <si>
    <t>2029 E 3RD ST</t>
  </si>
  <si>
    <t>2029 E 3RD GARAGE</t>
  </si>
  <si>
    <t>2031 E 3RD ST</t>
  </si>
  <si>
    <t>2030 E 3RD ST</t>
  </si>
  <si>
    <t>3RD &amp; UNION APARTMENTS</t>
  </si>
  <si>
    <t>WILLKIE B</t>
  </si>
  <si>
    <t>WILLKIE A</t>
  </si>
  <si>
    <t>MASON HALL</t>
  </si>
  <si>
    <t>1901 E 10TH ST</t>
  </si>
  <si>
    <t>2045 E 7TH ST</t>
  </si>
  <si>
    <t>318 N UNION ST</t>
  </si>
  <si>
    <t>318 N UNION GARAGE</t>
  </si>
  <si>
    <t>306 N UNION ST</t>
  </si>
  <si>
    <t>2020 E 3RD ST</t>
  </si>
  <si>
    <t>200 S BRYAN AVE</t>
  </si>
  <si>
    <t>117 S UNION ST</t>
  </si>
  <si>
    <t>204 S BRYAN AVE</t>
  </si>
  <si>
    <t>206 S BRYAN AVE</t>
  </si>
  <si>
    <t>212 S BRYAN AVE</t>
  </si>
  <si>
    <t>214 S BRYAN AVE</t>
  </si>
  <si>
    <t>120 S BRYAN AVE</t>
  </si>
  <si>
    <t>118 S BRYAN AVE</t>
  </si>
  <si>
    <t>102 S BRYAN AVE</t>
  </si>
  <si>
    <t>104 S BRYAN AVE</t>
  </si>
  <si>
    <t>113 N BRYAN AVE</t>
  </si>
  <si>
    <t>120 N BRYAN AVE</t>
  </si>
  <si>
    <t>121 N BRYAN AVE</t>
  </si>
  <si>
    <t>AMERICAN HISTORIANS-RAINTREE HOUSE</t>
  </si>
  <si>
    <t>111 N BRYAN AVE</t>
  </si>
  <si>
    <t>2105 E 3RD ST</t>
  </si>
  <si>
    <t>2105 E 3RD GARAGE</t>
  </si>
  <si>
    <t>2427 E 2ND ST</t>
  </si>
  <si>
    <t>2431 E 2ND ST</t>
  </si>
  <si>
    <t>713 E COTTAGE GR</t>
  </si>
  <si>
    <t>802 E COTTAGE GROVE AVE</t>
  </si>
  <si>
    <t>822 E COTTAGE GROVE AVE</t>
  </si>
  <si>
    <t>815 E 10TH ST</t>
  </si>
  <si>
    <t>ASIAN CULTURE CENTER</t>
  </si>
  <si>
    <t>809 E 10TH ST</t>
  </si>
  <si>
    <t>801 E 10TH ST</t>
  </si>
  <si>
    <t>824 E COTTAGE GROVE AVE</t>
  </si>
  <si>
    <t>611 N WOODLAWN AVE</t>
  </si>
  <si>
    <t>805 E COTTAGE GROVE AVE</t>
  </si>
  <si>
    <t>824.5 E COTTAGE GROVE AVE</t>
  </si>
  <si>
    <t>711 N PARK AVE</t>
  </si>
  <si>
    <t>711 N PARK GARAGE</t>
  </si>
  <si>
    <t>721 N PARK AVE</t>
  </si>
  <si>
    <t>821 E 10TH ST</t>
  </si>
  <si>
    <t>1020 N INDIANA AVE</t>
  </si>
  <si>
    <t>1114 INDIANA GARAGE</t>
  </si>
  <si>
    <t>1000 N INDIANA AVE</t>
  </si>
  <si>
    <t>603 E 12TH ST GARAGE</t>
  </si>
  <si>
    <t>615 E 13TH ST</t>
  </si>
  <si>
    <t>1112 N INDIANA AVE</t>
  </si>
  <si>
    <t>1112 INDIANA GARAGE</t>
  </si>
  <si>
    <t>623 E 13TH ST</t>
  </si>
  <si>
    <t>RESEARCH SVC. BLDG.</t>
  </si>
  <si>
    <t>GEOL. MATERIAL TEST</t>
  </si>
  <si>
    <t>321 N WOODLAWN AVE</t>
  </si>
  <si>
    <t>712 E 12TH ST-GARAGE</t>
  </si>
  <si>
    <t>821 E 11TH ST</t>
  </si>
  <si>
    <t>703 E 11TH ST</t>
  </si>
  <si>
    <t>707 E 11TH ST</t>
  </si>
  <si>
    <t>707 E 11TH GARAGE</t>
  </si>
  <si>
    <t>815 E COTTAGE GROVE AVE</t>
  </si>
  <si>
    <t>715 E 11TH ST</t>
  </si>
  <si>
    <t>815 N PARK AVE</t>
  </si>
  <si>
    <t>813 N PARK AVE</t>
  </si>
  <si>
    <t>823 E 11TH ST HOUSE</t>
  </si>
  <si>
    <t>823 E 11TH ST GARAGE</t>
  </si>
  <si>
    <t>DEVAULT ALUMNI CENTER</t>
  </si>
  <si>
    <t>1104 N WOODLAWN AVE</t>
  </si>
  <si>
    <t>1106 N WOODLAWN AVE</t>
  </si>
  <si>
    <t>1202 N WOODLAWN AVE</t>
  </si>
  <si>
    <t>1216 N WOODLAWN AVE</t>
  </si>
  <si>
    <t>901 N WOODLAWN AVE</t>
  </si>
  <si>
    <t>607 E 13TH ST</t>
  </si>
  <si>
    <t>919 E 13TH ST</t>
  </si>
  <si>
    <t>710 N FESS AVE</t>
  </si>
  <si>
    <t>829 N FESS AVE</t>
  </si>
  <si>
    <t>905 E 14TH ST</t>
  </si>
  <si>
    <t>913 E 14TH ST</t>
  </si>
  <si>
    <t>908 E 14TH ST: HOUSE</t>
  </si>
  <si>
    <t>908 E 14TH ST: GARAGE</t>
  </si>
  <si>
    <t>CHILLED WATER PLANT</t>
  </si>
  <si>
    <t>ECHO CHAMBER</t>
  </si>
  <si>
    <t>ANECHOIC LAB</t>
  </si>
  <si>
    <t>BEHAVIOR LAB</t>
  </si>
  <si>
    <t>N WOODLAWN CHILLER PLANT</t>
  </si>
  <si>
    <t>607 E 12TH ST</t>
  </si>
  <si>
    <t>608 E 12TH ST</t>
  </si>
  <si>
    <t>615 E 14TH ST</t>
  </si>
  <si>
    <t>1103 N FESS AVE</t>
  </si>
  <si>
    <t>880 N WALNUT GROVE</t>
  </si>
  <si>
    <t>PERSIMMON A &amp; B</t>
  </si>
  <si>
    <t>MCNUTT NORTH</t>
  </si>
  <si>
    <t>CHESTNUT C &amp; D</t>
  </si>
  <si>
    <t>MCNUTT SOUTH</t>
  </si>
  <si>
    <t>CENTRAL HEATING PLANT</t>
  </si>
  <si>
    <t>FEE LANE PKG GARAGE</t>
  </si>
  <si>
    <t>HARPER HALL</t>
  </si>
  <si>
    <t>SHEA HALL</t>
  </si>
  <si>
    <t>MAGEE HALL</t>
  </si>
  <si>
    <t>JENKINSON HALL</t>
  </si>
  <si>
    <t>NELSON RPS ADMIN.</t>
  </si>
  <si>
    <t>WELLS HOUSE</t>
  </si>
  <si>
    <t>1319 E 10TH ST</t>
  </si>
  <si>
    <t>1357 E 10TH ST</t>
  </si>
  <si>
    <t>IU STUDENT HEALTH CENTER</t>
  </si>
  <si>
    <t>PARKING BOOTH</t>
  </si>
  <si>
    <t>ROGERS HL ELEV PUMP</t>
  </si>
  <si>
    <t>FACILITY OPS STORAGE</t>
  </si>
  <si>
    <t>HOOSIER COURTS D/C</t>
  </si>
  <si>
    <t>CAMPUS VIEW APARTMENTS</t>
  </si>
  <si>
    <t>BOTANY GREENHOUSE</t>
  </si>
  <si>
    <t>JUNIOR GARDENING</t>
  </si>
  <si>
    <t>POLE BARN A</t>
  </si>
  <si>
    <t>POLE BARN B</t>
  </si>
  <si>
    <t>BOTANY FIELD GREENHOUSE</t>
  </si>
  <si>
    <t>RESEARCH LAB</t>
  </si>
  <si>
    <t>HILLTOP GARDEN CENTER</t>
  </si>
  <si>
    <t>FLY MAGNETIC CENTER</t>
  </si>
  <si>
    <t>TULIP TREE APTS</t>
  </si>
  <si>
    <t>LANDSCAPE SVCS</t>
  </si>
  <si>
    <t>LANDSCAPE SRV 1</t>
  </si>
  <si>
    <t>LANDSCAPE SRV 2</t>
  </si>
  <si>
    <t>LANDSCAPE SRV STORAGE</t>
  </si>
  <si>
    <t>MOBILE OFFICE</t>
  </si>
  <si>
    <t>GEORGE THOMAS CLUBHOUSE</t>
  </si>
  <si>
    <t>INNOVATION CENTER</t>
  </si>
  <si>
    <t>GLOBAL NOC BUILDING</t>
  </si>
  <si>
    <t>INTERCOL. ATHL. GYM</t>
  </si>
  <si>
    <t>SMITH RESEARCH CENTER</t>
  </si>
  <si>
    <t>CHILDRENS CENTER</t>
  </si>
  <si>
    <t>ROTC SUPPLY CENTER</t>
  </si>
  <si>
    <t>CYBERINFRASTRUCTURE BLDG (CIB)</t>
  </si>
  <si>
    <t>DATA CENTER</t>
  </si>
  <si>
    <t>DISABILITY &amp; COMMUNITY</t>
  </si>
  <si>
    <t>BART KAUFMAN FIELD</t>
  </si>
  <si>
    <t>ANDY MOHR FIELD</t>
  </si>
  <si>
    <t>MELLENCAMP PAVILION</t>
  </si>
  <si>
    <t>MARCHING HUNDRED HALL (RAY E CRAMER)</t>
  </si>
  <si>
    <t>HAYES TRACK STORAGE</t>
  </si>
  <si>
    <t>HAYES TRACK PRESSBOX</t>
  </si>
  <si>
    <t>WILKINSON HALL (VOLLEYBALL/WRESTLING)</t>
  </si>
  <si>
    <t>MEMORIAL STADIUM</t>
  </si>
  <si>
    <t>TENNIS CENTER</t>
  </si>
  <si>
    <t>WILCOX HOUSE</t>
  </si>
  <si>
    <t>OUTDOOR POOL</t>
  </si>
  <si>
    <t>HEADLEY SCHOOL</t>
  </si>
  <si>
    <t>HEADLEY SCH GARAGE</t>
  </si>
  <si>
    <t>1800 N FEE LN</t>
  </si>
  <si>
    <t>1704 N FEE LN</t>
  </si>
  <si>
    <t>711 E SR45/46 HOUSE</t>
  </si>
  <si>
    <t>711 E SR45/46 GREENHS</t>
  </si>
  <si>
    <t>1001 E SR 45 46 BYP</t>
  </si>
  <si>
    <t>721 E STATE RD 45/46 BYP</t>
  </si>
  <si>
    <t>SEMBOWER CONCESSION</t>
  </si>
  <si>
    <t>SEMBOWER E PRESSBOX</t>
  </si>
  <si>
    <t>SEMBOWER W PRESSBOX</t>
  </si>
  <si>
    <t>COOK HALL</t>
  </si>
  <si>
    <t>GOLF MAINTENANCE</t>
  </si>
  <si>
    <t>GOLF MAINT STORAGE</t>
  </si>
  <si>
    <t>GOLF PUMPHOUSE</t>
  </si>
  <si>
    <t>WEATHERS GOLF TEAM CENTER</t>
  </si>
  <si>
    <t>IU GOLF TEACHING AND TRAINING CENTER</t>
  </si>
  <si>
    <t>MULTIDISCIPLINARY ENG AND SCI HALL-MESH</t>
  </si>
  <si>
    <t>MESH STORAGE</t>
  </si>
  <si>
    <t>MESH STOR2</t>
  </si>
  <si>
    <t>ARMSTRONG STADIUM / TARDY CENTER</t>
  </si>
  <si>
    <t>ARMSTRONG PRESSBOX</t>
  </si>
  <si>
    <t>ARMSTRONG CONCESSIONS/RESTROOMS</t>
  </si>
  <si>
    <t>CIRCLE OF CHAMPIONS</t>
  </si>
  <si>
    <t>IRELAND FAMILY FIELDHOUSE</t>
  </si>
  <si>
    <t>FOOTBALL STORAGE</t>
  </si>
  <si>
    <t>ALF III</t>
  </si>
  <si>
    <t>ALF-RUTH LILLY AUXILIARY LIBRARY</t>
  </si>
  <si>
    <t>IU WAREHOUSE</t>
  </si>
  <si>
    <t>RESEARCH &amp; TEACHING PRESERVE</t>
  </si>
  <si>
    <t>MOTOR POOL</t>
  </si>
  <si>
    <t>2610 N HEADLEY RD</t>
  </si>
  <si>
    <t>2610 HEADLEY GARAGE</t>
  </si>
  <si>
    <t>2204 N HEADLEY RD</t>
  </si>
  <si>
    <t>LANDSCAPE STORAGE 2</t>
  </si>
  <si>
    <t>1203 E MATLOCK RD</t>
  </si>
  <si>
    <t>1209 E MATLOCK RD</t>
  </si>
  <si>
    <t>SERVICE BLDG</t>
  </si>
  <si>
    <t>1105 E ATWATER AVE</t>
  </si>
  <si>
    <t>1211 E ATWATER AVE</t>
  </si>
  <si>
    <t>JOURNAL AMERICAN HISTORY</t>
  </si>
  <si>
    <t>1217 E ATWATER</t>
  </si>
  <si>
    <t>920 E ATWATER AVE</t>
  </si>
  <si>
    <t>1125 E ATWATER AVE</t>
  </si>
  <si>
    <t>1211.5 E ATWATER AVE</t>
  </si>
  <si>
    <t>1129 E ATWATER AVE</t>
  </si>
  <si>
    <t>1103 E ATWATER AVE</t>
  </si>
  <si>
    <t>1015 E ATWATER AVE</t>
  </si>
  <si>
    <t>1200 E ATWATER AVE</t>
  </si>
  <si>
    <t>1220 E ATWATER AVE</t>
  </si>
  <si>
    <t>1212 E ATWATER AVE</t>
  </si>
  <si>
    <t>WOODBURN HOUSE</t>
  </si>
  <si>
    <t>WYLIE HOUSE MUSEUM</t>
  </si>
  <si>
    <t>422 S GRANT ST</t>
  </si>
  <si>
    <t>422 S GRANT GARAGE</t>
  </si>
  <si>
    <t>411 S LINCOLN ST</t>
  </si>
  <si>
    <t>215 E 2ND ST</t>
  </si>
  <si>
    <t>BRADLEY EDUCATION CENTER (MORTON C.)</t>
  </si>
  <si>
    <t>MONROE CO GOVT CENTER-SHOWERS</t>
  </si>
  <si>
    <t>420 N WALNUT ST</t>
  </si>
  <si>
    <t>2218 N DUNN ST</t>
  </si>
  <si>
    <t>2200 N DUNN ST</t>
  </si>
  <si>
    <t>SHOWALTER HOUSE (IU FOUNDATION)</t>
  </si>
  <si>
    <t>IUF STORAGE</t>
  </si>
  <si>
    <t>DELTA PHI EPSILON</t>
  </si>
  <si>
    <t>ALPHA PHI</t>
  </si>
  <si>
    <t>PI BETA PHI</t>
  </si>
  <si>
    <t>KAPPA KAPPA GAMMA</t>
  </si>
  <si>
    <t>DELTA UPSILON</t>
  </si>
  <si>
    <t>LAMBDA CHI ALPHA</t>
  </si>
  <si>
    <t>DELTA GAMMA</t>
  </si>
  <si>
    <t>KAPPA ALPHA THETA</t>
  </si>
  <si>
    <t>SIGMA PHI EPSILON</t>
  </si>
  <si>
    <t>KAPPA DELTA</t>
  </si>
  <si>
    <t>ALPHA CHI OMEGA</t>
  </si>
  <si>
    <t>ZETA TAU ALPHA</t>
  </si>
  <si>
    <t>SIGMA NU</t>
  </si>
  <si>
    <t>EVANS SCHOLARS</t>
  </si>
  <si>
    <t>BETA THETA PI</t>
  </si>
  <si>
    <t>POLICE DPT IUPD</t>
  </si>
  <si>
    <t>ALPHA EPSILON PHI</t>
  </si>
  <si>
    <t>PHI DELTA THETA</t>
  </si>
  <si>
    <t>PHI KAPPA PSI</t>
  </si>
  <si>
    <t>GAMMA PHI BETA</t>
  </si>
  <si>
    <t>ALPHA GAMMA DELTA</t>
  </si>
  <si>
    <t>SIGMA DELTA TAU</t>
  </si>
  <si>
    <t>ALPHA EPSILON PI</t>
  </si>
  <si>
    <t>CHI OMEGA</t>
  </si>
  <si>
    <t>SIGMA KAPPA</t>
  </si>
  <si>
    <t>ALPHA OMICRON PI</t>
  </si>
  <si>
    <t>THETA CHI</t>
  </si>
  <si>
    <t>DELTA ZETA</t>
  </si>
  <si>
    <t>PHI MU</t>
  </si>
  <si>
    <t>ALPHA SIGMA PHI</t>
  </si>
  <si>
    <t>PI KAPPA PHI</t>
  </si>
  <si>
    <t>ALPHA XI DELTA</t>
  </si>
  <si>
    <t>CHRISTIAN STUDENT FELLOWSHIP</t>
  </si>
  <si>
    <t>ALPHA DELTA PI</t>
  </si>
  <si>
    <t>SIGMA CHI</t>
  </si>
  <si>
    <t>SIGMA ALPHA EPSILON</t>
  </si>
  <si>
    <t>PHI GAMMA DELTA-NEW</t>
  </si>
  <si>
    <t>FIRE DEPARTMENT</t>
  </si>
  <si>
    <t>STONE BELT CENTER</t>
  </si>
  <si>
    <t>SCCAP GREENHOUSE</t>
  </si>
  <si>
    <t>CONRAD PREBYS AMPHITHEATER</t>
  </si>
  <si>
    <t>HILLEL CENTER</t>
  </si>
  <si>
    <t>1708 N FEE LANE</t>
  </si>
  <si>
    <t>828 E COTTAGE GROVE</t>
  </si>
  <si>
    <t>829 E COTTAGE GROVE</t>
  </si>
  <si>
    <t>FORREST AVENUE PARKING GARAGE</t>
  </si>
  <si>
    <t>Building</t>
  </si>
  <si>
    <t>UNDERGRADUATE EDUCATION</t>
  </si>
  <si>
    <t>FIELD HOCKEY PRESSBOX</t>
  </si>
  <si>
    <t>TAU EPSILON PHI</t>
  </si>
  <si>
    <t>DELTA TAU DELTA</t>
  </si>
  <si>
    <t>PHI SIGMA KAPPA</t>
  </si>
  <si>
    <t>SHOWALTER FOUNTAIN</t>
  </si>
  <si>
    <t>513 N PARK AVE</t>
  </si>
  <si>
    <t>CHI PHI</t>
  </si>
  <si>
    <t>914 E ATWATER AVE</t>
  </si>
  <si>
    <t>BETA SIGMA PSI</t>
  </si>
  <si>
    <t>FERGUSON INTERNATIONAL CENTER</t>
  </si>
  <si>
    <t>Enrollment</t>
  </si>
  <si>
    <t>count</t>
  </si>
  <si>
    <t>Distance</t>
  </si>
  <si>
    <t>Sector</t>
  </si>
  <si>
    <t>separate source</t>
  </si>
  <si>
    <t>Main</t>
  </si>
  <si>
    <t>present in building</t>
  </si>
  <si>
    <t>present in distance</t>
  </si>
  <si>
    <t>present in sector</t>
  </si>
  <si>
    <t>present in enrollment</t>
  </si>
  <si>
    <t>510-512 N FESS AVE</t>
  </si>
  <si>
    <t>1127 E ATWATER AVE</t>
  </si>
  <si>
    <t>BUILDING C</t>
  </si>
  <si>
    <t>BUILDING D</t>
  </si>
  <si>
    <t>SIGMA ALPHA MU</t>
  </si>
  <si>
    <t>5001 N STATE ROAD 37</t>
  </si>
  <si>
    <t>BUILDING B</t>
  </si>
  <si>
    <t>BUILDING E</t>
  </si>
  <si>
    <t>BUILDING F</t>
  </si>
  <si>
    <t>BUILDING G</t>
  </si>
  <si>
    <t>BUILDING H</t>
  </si>
  <si>
    <t>BUILDING I</t>
  </si>
  <si>
    <t>BUILDING A</t>
  </si>
  <si>
    <t>320 S EASTSIDE DR</t>
  </si>
  <si>
    <t>after removing 0 and NULL and duplicates.</t>
  </si>
  <si>
    <t>present in new sector</t>
  </si>
  <si>
    <t>LOT #</t>
  </si>
  <si>
    <t>Parking Space Inventory</t>
  </si>
  <si>
    <t>Purple Lot-Stadium</t>
  </si>
  <si>
    <t>White Lot West of Stadium</t>
  </si>
  <si>
    <t>Green Lot-Tennis Pavillion</t>
  </si>
  <si>
    <t>Orange Lot</t>
  </si>
  <si>
    <t>Atwater Garage</t>
  </si>
  <si>
    <t>Fee Lane Garage</t>
  </si>
  <si>
    <t>Blue Lot West West (Section E)</t>
  </si>
  <si>
    <t>Henderson Garage and N. Annex</t>
  </si>
  <si>
    <t>10th St. at Sunrise (CH5)</t>
  </si>
  <si>
    <t>Eigenmann-South (CH5)</t>
  </si>
  <si>
    <t>Poplars Garage</t>
  </si>
  <si>
    <t>Forrest Ave Garage-Luddy AI</t>
  </si>
  <si>
    <t>13th and Fee Lot</t>
  </si>
  <si>
    <t>2901 E Discovery Pkwy -SB (Service Bldg)</t>
  </si>
  <si>
    <t>East Parking Garage-Upper</t>
  </si>
  <si>
    <t>East Parging Garage-Lower</t>
  </si>
  <si>
    <t>Blue Lot East (Section F)</t>
  </si>
  <si>
    <t>Stadium Concourse</t>
  </si>
  <si>
    <t>MESH</t>
  </si>
  <si>
    <t>Foster East (CH6)</t>
  </si>
  <si>
    <t xml:space="preserve">Campus View (CH3) </t>
  </si>
  <si>
    <t>Eigenmann-East (86 24hrCH5, 24 CH5)</t>
  </si>
  <si>
    <t>IMU-Pay Lot # 1</t>
  </si>
  <si>
    <t>Smith Research</t>
  </si>
  <si>
    <t>SRSC</t>
  </si>
  <si>
    <t>Tulip Tree (CH3)</t>
  </si>
  <si>
    <t xml:space="preserve">David Baker Ave </t>
  </si>
  <si>
    <t>Foundation</t>
  </si>
  <si>
    <t xml:space="preserve">Redbud </t>
  </si>
  <si>
    <t>17th St. Lot</t>
  </si>
  <si>
    <t>3000 E Discovery Pkwy -FS (Fleet Services)</t>
  </si>
  <si>
    <t>Recreation Driving Range</t>
  </si>
  <si>
    <t>CIB North</t>
  </si>
  <si>
    <t>Willkie CH1,CH2)</t>
  </si>
  <si>
    <t>3050 E Discovery Pkwy -WH (Warehouse)</t>
  </si>
  <si>
    <t>Forest East (CH1, CH2)</t>
  </si>
  <si>
    <t>Track &amp; Field</t>
  </si>
  <si>
    <t>RAHC-Health Sciences</t>
  </si>
  <si>
    <t>Briscoe West  (CH6)</t>
  </si>
  <si>
    <t>Atwater Lot @ Fess St.</t>
  </si>
  <si>
    <t xml:space="preserve">Assembly Hall North </t>
  </si>
  <si>
    <r>
      <t>Law Lot-4th &amp; Indiana</t>
    </r>
    <r>
      <rPr>
        <i/>
        <sz val="11"/>
        <rFont val="Calibri"/>
        <family val="2"/>
        <scheme val="minor"/>
      </rPr>
      <t xml:space="preserve"> </t>
    </r>
  </si>
  <si>
    <t>408 N. Union /Student Servs.</t>
  </si>
  <si>
    <t>Optometry Lot-801 Atwater</t>
  </si>
  <si>
    <t>12th St. Lot</t>
  </si>
  <si>
    <t>Forest West (CH1,CH2)</t>
  </si>
  <si>
    <t>Data Center/UITS</t>
  </si>
  <si>
    <t xml:space="preserve">CIB </t>
  </si>
  <si>
    <t>1469 E. 17th St-IUPD/Foundation</t>
  </si>
  <si>
    <t>IU Golf- Pfau Course</t>
  </si>
  <si>
    <t>Kaufman &amp; Mohr Fields/1873 N Fee</t>
  </si>
  <si>
    <t>Wells Library/GISB</t>
  </si>
  <si>
    <t>Law Ln: Fee to Eagleson (RPS Dock)</t>
  </si>
  <si>
    <t xml:space="preserve">IMU Pay Lot # 2 </t>
  </si>
  <si>
    <t>1209 Matlock Rd</t>
  </si>
  <si>
    <t>4th &amp; Dunn</t>
  </si>
  <si>
    <t>Jones Ave. (CH1,CH2)</t>
  </si>
  <si>
    <t xml:space="preserve">Business/SPEA </t>
  </si>
  <si>
    <t>Campus Bus-Grimes Ln.</t>
  </si>
  <si>
    <t>2600 E 10th/10th &amp; Bypass</t>
  </si>
  <si>
    <t>N. Eagleson 10th-17th</t>
  </si>
  <si>
    <t xml:space="preserve">E. 7th St.  </t>
  </si>
  <si>
    <t>Union Ct</t>
  </si>
  <si>
    <t>1630 E 17th St</t>
  </si>
  <si>
    <t>Health Center-10th &amp; Eagleson</t>
  </si>
  <si>
    <t>Stone Belt/Innovation Center</t>
  </si>
  <si>
    <t>2427 E. 2nd St/ Envir.Hlth/  Safety/</t>
  </si>
  <si>
    <t>Devault Alumni-17th &amp; Forest</t>
  </si>
  <si>
    <t xml:space="preserve">IIDC  </t>
  </si>
  <si>
    <t>Von Lee-Kirkwood &amp;Indiana</t>
  </si>
  <si>
    <t>509 E 3rd St.</t>
  </si>
  <si>
    <t>Union St - 1100 Block</t>
  </si>
  <si>
    <t>2850 E Discovery Pkwy -ALF (Aux Library)</t>
  </si>
  <si>
    <t>McCalla</t>
  </si>
  <si>
    <t>901/919 E. 10th St.-Informatics</t>
  </si>
  <si>
    <t>Crosstown - 1801 E 10th St</t>
  </si>
  <si>
    <t>Linglebach Ln.</t>
  </si>
  <si>
    <t>Foster North (CH6)</t>
  </si>
  <si>
    <t>Yellow Lot-17th &amp;Fess</t>
  </si>
  <si>
    <t>President's Lot</t>
  </si>
  <si>
    <t xml:space="preserve">MAC </t>
  </si>
  <si>
    <t>800 N. Indiana (Old Church)</t>
  </si>
  <si>
    <t>1514 E. 3rd-Admission Administration</t>
  </si>
  <si>
    <t>Lingelbach East</t>
  </si>
  <si>
    <t>700 N. Indiana-Hillcrest North (CH7)</t>
  </si>
  <si>
    <t>Woodburn House-500 N. College</t>
  </si>
  <si>
    <t>SPH West - Garrett FH (HPER W)</t>
  </si>
  <si>
    <t>Geology</t>
  </si>
  <si>
    <t>Law Ln. &amp; Jordan Ave.-E. of Jordan</t>
  </si>
  <si>
    <t>Music Practice</t>
  </si>
  <si>
    <t>University Apts.-East Drive (CH2)</t>
  </si>
  <si>
    <t xml:space="preserve">Read-SW </t>
  </si>
  <si>
    <t>519 E 10th ( Yogis)</t>
  </si>
  <si>
    <t xml:space="preserve">1901 E. 10th St. </t>
  </si>
  <si>
    <t xml:space="preserve">Owen Hall    </t>
  </si>
  <si>
    <t>Sunrise Ave. (CH5)</t>
  </si>
  <si>
    <t>Music Circle &amp; Drives</t>
  </si>
  <si>
    <t>Power Plant</t>
  </si>
  <si>
    <t xml:space="preserve">Foster West </t>
  </si>
  <si>
    <t>918 E. 3rd-Pike</t>
  </si>
  <si>
    <t>Wright West (CH5)</t>
  </si>
  <si>
    <t xml:space="preserve">Read-NW (CH1) </t>
  </si>
  <si>
    <t>2222 E. 10th-Campus Division</t>
  </si>
  <si>
    <t>Auditorium</t>
  </si>
  <si>
    <t>322 S Eagleson Ave (Bears Place)</t>
  </si>
  <si>
    <t>300 N. Eagleson-South (Hudson &amp; Holland)</t>
  </si>
  <si>
    <t>2400 E 10th St (Tech park overflow)</t>
  </si>
  <si>
    <t xml:space="preserve"> 611 N. Fess-Hillcrest West (CH7)</t>
  </si>
  <si>
    <t>510 E. Kirkwood-Kilroy's</t>
  </si>
  <si>
    <t xml:space="preserve">513 N. Park-Political Theory </t>
  </si>
  <si>
    <t>6th &amp; Dunn</t>
  </si>
  <si>
    <t>306 N Union/Classroom Tech.</t>
  </si>
  <si>
    <t>703/705 E. 7th-SLS/GLBTQ</t>
  </si>
  <si>
    <t xml:space="preserve">1306 E 3rd St (TIS) </t>
  </si>
  <si>
    <t>Optometry Borish Center (800 Atwater)</t>
  </si>
  <si>
    <t>300 N.Eagleson-North (Hudson &amp; Holland)</t>
  </si>
  <si>
    <t>Hilltop</t>
  </si>
  <si>
    <t>324 S. Henderson-Real Estate</t>
  </si>
  <si>
    <t>Sembower Field West</t>
  </si>
  <si>
    <t>Jacobs Music School Studio Bldg</t>
  </si>
  <si>
    <t>Ballantine Hall</t>
  </si>
  <si>
    <t>SRSC Dock</t>
  </si>
  <si>
    <t>Read South Circle</t>
  </si>
  <si>
    <t>112 N. Bryan-Raintree House</t>
  </si>
  <si>
    <t>Education (Circle and Drives E and NW)</t>
  </si>
  <si>
    <t xml:space="preserve">515/521 N. Park-Telecomm. </t>
  </si>
  <si>
    <t>625 N. Eagleson-Career Dev</t>
  </si>
  <si>
    <t>Weathers Golf Team Center</t>
  </si>
  <si>
    <r>
      <t>1022 E. 3rd--</t>
    </r>
    <r>
      <rPr>
        <i/>
        <sz val="11"/>
        <rFont val="Calibri"/>
        <family val="2"/>
        <scheme val="minor"/>
      </rPr>
      <t>2 small lots here</t>
    </r>
  </si>
  <si>
    <t xml:space="preserve">420 N Walnut St </t>
  </si>
  <si>
    <t>Mellencamp Pavillion</t>
  </si>
  <si>
    <t>Briscoe East</t>
  </si>
  <si>
    <t>IMU-Circle</t>
  </si>
  <si>
    <t xml:space="preserve">Eigenmann Dock </t>
  </si>
  <si>
    <t xml:space="preserve">316 N. Eagleson-KSB </t>
  </si>
  <si>
    <t>SPH East - Garrett FH (HPER E)</t>
  </si>
  <si>
    <t xml:space="preserve">Fine Arts Museum </t>
  </si>
  <si>
    <t>Chemistry Dock</t>
  </si>
  <si>
    <t>819 E 10th St</t>
  </si>
  <si>
    <t>Campus View West &amp; Circle (CH3)</t>
  </si>
  <si>
    <t xml:space="preserve">811 E. 7th-Honors College </t>
  </si>
  <si>
    <t>Radio/TV Circle</t>
  </si>
  <si>
    <t>Bryan Hall</t>
  </si>
  <si>
    <t xml:space="preserve">1015 Atwater/1012 E. 3rd </t>
  </si>
  <si>
    <t xml:space="preserve">1220 Atwater-real estate </t>
  </si>
  <si>
    <t>Wylie House Museum</t>
  </si>
  <si>
    <t>Mathers Museum</t>
  </si>
  <si>
    <t>Forest Circle-S.</t>
  </si>
  <si>
    <t xml:space="preserve">900 &amp; 1004 E.13th-Chilled Water E/W </t>
  </si>
  <si>
    <t>814 E. 3rd-ROTC</t>
  </si>
  <si>
    <t>1800 N. Fee Ln.</t>
  </si>
  <si>
    <t>607 E 12th St</t>
  </si>
  <si>
    <t>Simon Music Building</t>
  </si>
  <si>
    <t>Memorial Hall</t>
  </si>
  <si>
    <t>501/505 N. Park</t>
  </si>
  <si>
    <t>Wright East/Campbell Dr.</t>
  </si>
  <si>
    <t>Read North Circle</t>
  </si>
  <si>
    <t xml:space="preserve">819 N. Forest-North Side </t>
  </si>
  <si>
    <t>901 E. 13th-Fac Ops Utilities</t>
  </si>
  <si>
    <t>201 N. Indiana-Ctr Rep Govt</t>
  </si>
  <si>
    <t>914 E. Atwater</t>
  </si>
  <si>
    <t>111 S. Eagleson-International Center</t>
  </si>
  <si>
    <t>McNutt East-drive</t>
  </si>
  <si>
    <t>1331 &amp; 1357 E. 10th</t>
  </si>
  <si>
    <t>405/407 N. Park</t>
  </si>
  <si>
    <t>1215/1217 Atwater</t>
  </si>
  <si>
    <t>802 E. 13th-Arts Annex</t>
  </si>
  <si>
    <t>822 E 12th - Eskenazi Wood &amp; Metal</t>
  </si>
  <si>
    <t>1319 E. 10th-Carter House</t>
  </si>
  <si>
    <t>Theatre and Drama</t>
  </si>
  <si>
    <t>920 Atwater</t>
  </si>
  <si>
    <t>IMU Dock-Ernie Pyle</t>
  </si>
  <si>
    <t xml:space="preserve">Goodbody Hall-North </t>
  </si>
  <si>
    <t>Morrison Hall</t>
  </si>
  <si>
    <t>Bryan House</t>
  </si>
  <si>
    <t>Union St. Center/Ashton</t>
  </si>
  <si>
    <t>Collins LLC &amp; Dock-10th &amp;Wdlwn.</t>
  </si>
  <si>
    <t>SPH South - Garrett FH (HPER S)</t>
  </si>
  <si>
    <t>Wylie Hall</t>
  </si>
  <si>
    <t>823 E 11th St - Center for Vet/Mil Students</t>
  </si>
  <si>
    <t>Showalter Fountain</t>
  </si>
  <si>
    <t xml:space="preserve">Student Bldg./Maxwell Hall </t>
  </si>
  <si>
    <t>Eigenmann Circle</t>
  </si>
  <si>
    <t>Biology Building- Dock</t>
  </si>
  <si>
    <t xml:space="preserve">321 N Woodlawn </t>
  </si>
  <si>
    <t>Outdoor Pool-17th &amp; Fee</t>
  </si>
  <si>
    <t>510/512 N. Fess-Thought/Cognition</t>
  </si>
  <si>
    <t>506/508 N. Fess-Folklore</t>
  </si>
  <si>
    <t>504 N. Fess-Folklore Projects</t>
  </si>
  <si>
    <t>715 E. 7th-Latino Affairs</t>
  </si>
  <si>
    <t xml:space="preserve">Swain Hall </t>
  </si>
  <si>
    <t>1211 Atwater</t>
  </si>
  <si>
    <t>915 E. 11th</t>
  </si>
  <si>
    <t>Sembower Field East</t>
  </si>
  <si>
    <t>Franklin Hall.</t>
  </si>
  <si>
    <t xml:space="preserve">Rowe </t>
  </si>
  <si>
    <t>1010 E. 13th</t>
  </si>
  <si>
    <t>Walnut Grove Ctr/McNutt W</t>
  </si>
  <si>
    <t>1000 Block Cottage Grove</t>
  </si>
  <si>
    <t>600 - 700 Blk Walnut Grove</t>
  </si>
  <si>
    <t xml:space="preserve">Walnut Grove Lot </t>
  </si>
  <si>
    <t>Radio/TV North Drive</t>
  </si>
  <si>
    <t>Sample Gate</t>
  </si>
  <si>
    <t>S Woodlawn/Simon H Access (Fire Drive)</t>
  </si>
  <si>
    <t>IMU S 700-1000 E Kirkwood</t>
  </si>
  <si>
    <t xml:space="preserve">Goodbody Hall-West </t>
  </si>
  <si>
    <t>324 N. Eagleson</t>
  </si>
  <si>
    <t>Teter Circle</t>
  </si>
  <si>
    <t>Union Street</t>
  </si>
  <si>
    <t>Forest North-Dock</t>
  </si>
  <si>
    <t>Rose Ave.</t>
  </si>
  <si>
    <t>Willkie Circles</t>
  </si>
  <si>
    <t>IU Rental Properties      BL-V1-601</t>
  </si>
  <si>
    <t>On Street Time Zones   BL-V2-602</t>
  </si>
  <si>
    <t>Sidewalk                      BL-V3-603</t>
  </si>
  <si>
    <t>Bus Stop                      BL-V4-604</t>
  </si>
  <si>
    <t>In Street/Drive               BL-V5-605</t>
  </si>
  <si>
    <t>On Landscape              BL-V6-606</t>
  </si>
  <si>
    <t>Permit Not Returned      BL-V7-607</t>
  </si>
  <si>
    <t>Hoosier Energy Site (Future)</t>
  </si>
  <si>
    <t>TITLE</t>
  </si>
  <si>
    <t>Atwater Parking Garage</t>
  </si>
  <si>
    <t>Fee Lane Parking Garage</t>
  </si>
  <si>
    <t>Forrest Ave Parking Garage</t>
  </si>
  <si>
    <t>Headley School Parking</t>
  </si>
  <si>
    <t>Henderson Parking Garage</t>
  </si>
  <si>
    <t>Lot 100</t>
  </si>
  <si>
    <t>Lot 102</t>
  </si>
  <si>
    <t>Lot 103</t>
  </si>
  <si>
    <t>Lot 104</t>
  </si>
  <si>
    <t>Lot 108</t>
  </si>
  <si>
    <t>Lot 110</t>
  </si>
  <si>
    <t>Lot 111</t>
  </si>
  <si>
    <t>Lot 112</t>
  </si>
  <si>
    <t>Lot 114</t>
  </si>
  <si>
    <t>Lot 115</t>
  </si>
  <si>
    <t>Lot 116</t>
  </si>
  <si>
    <t>Lot 117</t>
  </si>
  <si>
    <t>Lot 120</t>
  </si>
  <si>
    <t>Lot 121</t>
  </si>
  <si>
    <t>Lot 122</t>
  </si>
  <si>
    <t>Lot 123</t>
  </si>
  <si>
    <t>Lot 125</t>
  </si>
  <si>
    <t>Lot 126</t>
  </si>
  <si>
    <t>Lot 127</t>
  </si>
  <si>
    <t>Lot 128</t>
  </si>
  <si>
    <t>Lot 130</t>
  </si>
  <si>
    <t>Lot 132</t>
  </si>
  <si>
    <t>Lot 133</t>
  </si>
  <si>
    <t>Lot 134</t>
  </si>
  <si>
    <t>Lot 136</t>
  </si>
  <si>
    <t>Lot 138</t>
  </si>
  <si>
    <t>Lot 140</t>
  </si>
  <si>
    <t>Lot 142</t>
  </si>
  <si>
    <t>Lot 144</t>
  </si>
  <si>
    <t>Lot 146</t>
  </si>
  <si>
    <t>Lot 148</t>
  </si>
  <si>
    <t>Lot 150</t>
  </si>
  <si>
    <t>Lot 152</t>
  </si>
  <si>
    <t>Lot 153</t>
  </si>
  <si>
    <t>Lot 154</t>
  </si>
  <si>
    <t>Lot 156</t>
  </si>
  <si>
    <t>Lot 158</t>
  </si>
  <si>
    <t>Lot 160</t>
  </si>
  <si>
    <t>Lot 162</t>
  </si>
  <si>
    <t>Lot 164</t>
  </si>
  <si>
    <t>Lot 166</t>
  </si>
  <si>
    <t>Lot 168</t>
  </si>
  <si>
    <t>Lot 169</t>
  </si>
  <si>
    <t>Lot 170</t>
  </si>
  <si>
    <t>Lot 172</t>
  </si>
  <si>
    <t>Lot 174</t>
  </si>
  <si>
    <t>Lot 178</t>
  </si>
  <si>
    <t>Lot 200</t>
  </si>
  <si>
    <t>Lot 201</t>
  </si>
  <si>
    <t>Lot 202</t>
  </si>
  <si>
    <t>Lot 204</t>
  </si>
  <si>
    <t>Lot 207</t>
  </si>
  <si>
    <t>Lot 208</t>
  </si>
  <si>
    <t>Lot 210</t>
  </si>
  <si>
    <t>Lot 212</t>
  </si>
  <si>
    <t>Lot 214</t>
  </si>
  <si>
    <t>Lot 216</t>
  </si>
  <si>
    <t>Lot 218</t>
  </si>
  <si>
    <t>Lot 222</t>
  </si>
  <si>
    <t>Lot 226</t>
  </si>
  <si>
    <t>Lot 227</t>
  </si>
  <si>
    <t>Lot 228</t>
  </si>
  <si>
    <t>Lot 229</t>
  </si>
  <si>
    <t>Lot 230</t>
  </si>
  <si>
    <t>Lot 231</t>
  </si>
  <si>
    <t>Lot 232</t>
  </si>
  <si>
    <t>Lot 234</t>
  </si>
  <si>
    <t>Lot 235</t>
  </si>
  <si>
    <t>Lot 242</t>
  </si>
  <si>
    <t>Lot 249</t>
  </si>
  <si>
    <t>Lot 250</t>
  </si>
  <si>
    <t>Lot 256</t>
  </si>
  <si>
    <t>Lot 257</t>
  </si>
  <si>
    <t>Lot 258</t>
  </si>
  <si>
    <t>Lot 259</t>
  </si>
  <si>
    <t>Lot 260</t>
  </si>
  <si>
    <t>Lot 302</t>
  </si>
  <si>
    <t>Lot 310</t>
  </si>
  <si>
    <t>Lot 312</t>
  </si>
  <si>
    <t>Lot 330</t>
  </si>
  <si>
    <t>Lot 342</t>
  </si>
  <si>
    <t>Lot 343</t>
  </si>
  <si>
    <t>Lot 344</t>
  </si>
  <si>
    <t>Lot 346</t>
  </si>
  <si>
    <t>Lot 350</t>
  </si>
  <si>
    <t>Lot 354</t>
  </si>
  <si>
    <t>Lot 355</t>
  </si>
  <si>
    <t>Lot 356</t>
  </si>
  <si>
    <t>Lot 358</t>
  </si>
  <si>
    <t>Lot 364</t>
  </si>
  <si>
    <t>Lot 366</t>
  </si>
  <si>
    <t>Lot 368</t>
  </si>
  <si>
    <t>Lot 402</t>
  </si>
  <si>
    <t>Lot 403</t>
  </si>
  <si>
    <t>Lot 404</t>
  </si>
  <si>
    <t>Lot 406</t>
  </si>
  <si>
    <t>Lot 409</t>
  </si>
  <si>
    <t>Lot 412</t>
  </si>
  <si>
    <t>Lot 414</t>
  </si>
  <si>
    <t>Lot 418</t>
  </si>
  <si>
    <t>Lot 420</t>
  </si>
  <si>
    <t>Lot 422</t>
  </si>
  <si>
    <t>Lot 423</t>
  </si>
  <si>
    <t>Lot 426</t>
  </si>
  <si>
    <t>Lot 428</t>
  </si>
  <si>
    <t>Lot 434</t>
  </si>
  <si>
    <t>Lot 436</t>
  </si>
  <si>
    <t>Lot 438</t>
  </si>
  <si>
    <t>Lot 440</t>
  </si>
  <si>
    <t>Lot 450</t>
  </si>
  <si>
    <t>Lot 451</t>
  </si>
  <si>
    <t>Lot 452</t>
  </si>
  <si>
    <t>Lot 453</t>
  </si>
  <si>
    <t>Lot 455</t>
  </si>
  <si>
    <t>Lot 456</t>
  </si>
  <si>
    <t>Lot 466</t>
  </si>
  <si>
    <t>Lot 468</t>
  </si>
  <si>
    <t>Lot 469</t>
  </si>
  <si>
    <t>Lot 470</t>
  </si>
  <si>
    <t>Lot 474</t>
  </si>
  <si>
    <t>Lot 475</t>
  </si>
  <si>
    <t>Lot 476</t>
  </si>
  <si>
    <t>Lot 477</t>
  </si>
  <si>
    <t>Lot 478</t>
  </si>
  <si>
    <t>Lot 479</t>
  </si>
  <si>
    <t>Lot 480</t>
  </si>
  <si>
    <t>Lot 482</t>
  </si>
  <si>
    <t>Lot 484</t>
  </si>
  <si>
    <t>Lot 488</t>
  </si>
  <si>
    <t>Lot 500</t>
  </si>
  <si>
    <t>Lot 504</t>
  </si>
  <si>
    <t>Lot 508</t>
  </si>
  <si>
    <t>Lot 510</t>
  </si>
  <si>
    <t>Lot 512</t>
  </si>
  <si>
    <t>Lot 513</t>
  </si>
  <si>
    <t>Lot 514</t>
  </si>
  <si>
    <t>Lot 515</t>
  </si>
  <si>
    <t>Lot 517</t>
  </si>
  <si>
    <t>Lot 518</t>
  </si>
  <si>
    <t>Lot 520</t>
  </si>
  <si>
    <t>Lot 522</t>
  </si>
  <si>
    <t>Lot 524</t>
  </si>
  <si>
    <t>Lot 525</t>
  </si>
  <si>
    <t>Lot 529</t>
  </si>
  <si>
    <t>Lot 530</t>
  </si>
  <si>
    <t>Lot 532</t>
  </si>
  <si>
    <t>Lot 534</t>
  </si>
  <si>
    <t>Lot 536</t>
  </si>
  <si>
    <t>Lot 538</t>
  </si>
  <si>
    <t>Lot 540</t>
  </si>
  <si>
    <t>Lot 544</t>
  </si>
  <si>
    <t>Lot 547</t>
  </si>
  <si>
    <t>Lot 548</t>
  </si>
  <si>
    <t>Lot 550</t>
  </si>
  <si>
    <t>Lot 552</t>
  </si>
  <si>
    <t>Lot 554</t>
  </si>
  <si>
    <t>Lot 556</t>
  </si>
  <si>
    <t>Lot 562</t>
  </si>
  <si>
    <t>Lot 566</t>
  </si>
  <si>
    <t>Lot 569</t>
  </si>
  <si>
    <t>Lot 640</t>
  </si>
  <si>
    <t>Lot 650</t>
  </si>
  <si>
    <t>Lots 316 / 318 / 320 / 322 / 324 / 326</t>
  </si>
  <si>
    <t>Poplars Parking Garage</t>
  </si>
  <si>
    <t>sector_mapping</t>
  </si>
  <si>
    <t>mapping  different</t>
  </si>
  <si>
    <t>not required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</si>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</sst>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trike/>
      <sz val="11"/>
      <name val="Calibri"/>
      <family val="2"/>
      <scheme val="minor"/>
    </font>
    <font>
      <i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4" fillId="0" borderId="1" xfId="0" applyFont="1" applyBorder="1"/>
    <xf numFmtId="0" fontId="2" fillId="5" borderId="1" xfId="0" applyFont="1" applyFill="1" applyBorder="1" applyAlignment="1">
      <alignment horizontal="center"/>
    </xf>
    <xf numFmtId="0" fontId="3" fillId="5" borderId="1" xfId="0" applyFont="1" applyFill="1" applyBorder="1"/>
    <xf numFmtId="0" fontId="2" fillId="6" borderId="1" xfId="0" applyFont="1" applyFill="1" applyBorder="1" applyAlignment="1">
      <alignment horizontal="center"/>
    </xf>
    <xf numFmtId="0" fontId="3" fillId="6" borderId="1" xfId="0" applyFont="1" applyFill="1" applyBorder="1"/>
    <xf numFmtId="0" fontId="2" fillId="7" borderId="1" xfId="0" applyFont="1" applyFill="1" applyBorder="1" applyAlignment="1">
      <alignment horizontal="center"/>
    </xf>
    <xf numFmtId="0" fontId="3" fillId="7" borderId="1" xfId="0" applyFont="1" applyFill="1" applyBorder="1"/>
    <xf numFmtId="0" fontId="2" fillId="8" borderId="1" xfId="0" applyFont="1" applyFill="1" applyBorder="1" applyAlignment="1">
      <alignment horizontal="center"/>
    </xf>
    <xf numFmtId="0" fontId="3" fillId="8" borderId="1" xfId="0" applyFont="1" applyFill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2" fillId="0" borderId="2" xfId="0" applyFont="1" applyBorder="1" applyAlignment="1">
      <alignment horizontal="center"/>
    </xf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F148C-A384-4AA2-AD41-FC391EE5A348}">
  <dimension ref="B1:F5"/>
  <sheetViews>
    <sheetView workbookViewId="0">
      <selection activeCell="B3" sqref="B3:E4"/>
    </sheetView>
  </sheetViews>
  <sheetFormatPr defaultRowHeight="14.4" x14ac:dyDescent="0.3"/>
  <cols>
    <col min="2" max="2" width="9.88671875" bestFit="1" customWidth="1"/>
    <col min="3" max="3" width="5.6640625" bestFit="1" customWidth="1"/>
    <col min="4" max="4" width="14.109375" bestFit="1" customWidth="1"/>
    <col min="5" max="5" width="4" bestFit="1" customWidth="1"/>
    <col min="6" max="6" width="36.109375" bestFit="1" customWidth="1"/>
  </cols>
  <sheetData>
    <row r="1" spans="2:6" x14ac:dyDescent="0.3">
      <c r="C1" t="s">
        <v>605</v>
      </c>
    </row>
    <row r="2" spans="2:6" x14ac:dyDescent="0.3">
      <c r="B2" t="s">
        <v>604</v>
      </c>
      <c r="C2">
        <v>184</v>
      </c>
      <c r="D2" t="s">
        <v>608</v>
      </c>
    </row>
    <row r="3" spans="2:6" x14ac:dyDescent="0.3">
      <c r="B3" s="1" t="s">
        <v>592</v>
      </c>
      <c r="C3" s="1">
        <v>638</v>
      </c>
      <c r="D3" s="1" t="s">
        <v>609</v>
      </c>
      <c r="E3" s="1">
        <v>507</v>
      </c>
      <c r="F3" t="s">
        <v>628</v>
      </c>
    </row>
    <row r="4" spans="2:6" x14ac:dyDescent="0.3">
      <c r="B4" s="1" t="s">
        <v>606</v>
      </c>
      <c r="C4" s="1">
        <v>507</v>
      </c>
      <c r="D4" s="1"/>
      <c r="E4" s="1"/>
    </row>
    <row r="5" spans="2:6" x14ac:dyDescent="0.3">
      <c r="B5" t="s">
        <v>607</v>
      </c>
      <c r="C5">
        <v>354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ACE0A-58D4-4B72-87DF-35BDD631D6FE}">
  <sheetPr filterMode="1"/>
  <dimension ref="A1:D184"/>
  <sheetViews>
    <sheetView topLeftCell="A140" workbookViewId="0">
      <selection activeCell="A182" sqref="A182"/>
    </sheetView>
  </sheetViews>
  <sheetFormatPr defaultRowHeight="14.4" x14ac:dyDescent="0.3"/>
  <cols>
    <col min="1" max="1" width="33.21875" bestFit="1" customWidth="1"/>
    <col min="2" max="3" width="28.77734375" bestFit="1" customWidth="1"/>
    <col min="4" max="4" width="30.5546875" bestFit="1" customWidth="1"/>
  </cols>
  <sheetData>
    <row r="1" spans="1:4" x14ac:dyDescent="0.3">
      <c r="A1" t="s">
        <v>0</v>
      </c>
      <c r="B1" t="s">
        <v>610</v>
      </c>
      <c r="C1" t="s">
        <v>611</v>
      </c>
      <c r="D1" t="s">
        <v>612</v>
      </c>
    </row>
    <row r="2" spans="1:4" hidden="1" x14ac:dyDescent="0.3">
      <c r="A2" t="s">
        <v>1</v>
      </c>
      <c r="B2" t="str">
        <f>VLOOKUP(A2,Building!A:A,1,FALSE)</f>
        <v>BALLANTINE HALL</v>
      </c>
      <c r="C2" t="str">
        <f>VLOOKUP(A2,Distance!A:A,1,FALSE)</f>
        <v>BALLANTINE HALL</v>
      </c>
      <c r="D2" t="e">
        <f>VLOOKUP(A2,Sector!A:A,1,FALSE)</f>
        <v>#N/A</v>
      </c>
    </row>
    <row r="3" spans="1:4" x14ac:dyDescent="0.3">
      <c r="A3" t="s">
        <v>2</v>
      </c>
      <c r="B3" t="e">
        <f>VLOOKUP(A3,Building!A:A,1,FALSE)</f>
        <v>#N/A</v>
      </c>
      <c r="C3" t="e">
        <f>VLOOKUP(A3,Distance!A:A,1,FALSE)</f>
        <v>#N/A</v>
      </c>
      <c r="D3" t="e">
        <f>VLOOKUP(A3,Sector!A:A,1,FALSE)</f>
        <v>#N/A</v>
      </c>
    </row>
    <row r="4" spans="1:4" hidden="1" x14ac:dyDescent="0.3">
      <c r="A4" t="s">
        <v>3</v>
      </c>
      <c r="B4" t="str">
        <f>VLOOKUP(A4,Building!A:A,1,FALSE)</f>
        <v>FRANKLIN HALL</v>
      </c>
      <c r="C4" t="str">
        <f>VLOOKUP(A4,Distance!A:A,1,FALSE)</f>
        <v>FRANKLIN HALL</v>
      </c>
      <c r="D4" t="str">
        <f>VLOOKUP(A4,Sector!A:A,1,FALSE)</f>
        <v>FRANKLIN HALL</v>
      </c>
    </row>
    <row r="5" spans="1:4" hidden="1" x14ac:dyDescent="0.3">
      <c r="A5" t="s">
        <v>4</v>
      </c>
      <c r="B5" t="str">
        <f>VLOOKUP(A5,Building!A:A,1,FALSE)</f>
        <v>GLOBAL &amp; INTL STUDIES BLDG</v>
      </c>
      <c r="C5" t="str">
        <f>VLOOKUP(A5,Distance!A:A,1,FALSE)</f>
        <v>GLOBAL &amp; INTL STUDIES BLDG</v>
      </c>
      <c r="D5" t="str">
        <f>VLOOKUP(A5,Sector!A:A,1,FALSE)</f>
        <v>GLOBAL &amp; INTL STUDIES BLDG</v>
      </c>
    </row>
    <row r="6" spans="1:4" x14ac:dyDescent="0.3">
      <c r="A6" t="s">
        <v>5</v>
      </c>
      <c r="B6" t="e">
        <f>VLOOKUP(A6,Building!A:A,1,FALSE)</f>
        <v>#N/A</v>
      </c>
      <c r="C6" t="e">
        <f>VLOOKUP(A6,Distance!A:A,1,FALSE)</f>
        <v>#N/A</v>
      </c>
      <c r="D6" t="e">
        <f>VLOOKUP(A6,Sector!A:A,1,FALSE)</f>
        <v>#N/A</v>
      </c>
    </row>
    <row r="7" spans="1:4" hidden="1" x14ac:dyDescent="0.3">
      <c r="A7" t="s">
        <v>6</v>
      </c>
      <c r="B7" t="str">
        <f>VLOOKUP(A7,Building!A:A,1,FALSE)</f>
        <v>HODGE HALL (BUSINESS SCHOOL)</v>
      </c>
      <c r="C7" t="str">
        <f>VLOOKUP(A7,Distance!A:A,1,FALSE)</f>
        <v>HODGE HALL (BUSINESS SCHOOL)</v>
      </c>
      <c r="D7" t="str">
        <f>VLOOKUP(A7,Sector!A:A,1,FALSE)</f>
        <v>HODGE HALL (BUSINESS SCHOOL)</v>
      </c>
    </row>
    <row r="8" spans="1:4" hidden="1" x14ac:dyDescent="0.3">
      <c r="A8" t="s">
        <v>7</v>
      </c>
      <c r="B8" t="str">
        <f>VLOOKUP(A8,Building!A:A,1,FALSE)</f>
        <v>KIRKWOOD HALL</v>
      </c>
      <c r="C8" t="str">
        <f>VLOOKUP(A8,Distance!A:A,1,FALSE)</f>
        <v>KIRKWOOD HALL</v>
      </c>
      <c r="D8" t="str">
        <f>VLOOKUP(A8,Sector!A:A,1,FALSE)</f>
        <v>KIRKWOOD HALL</v>
      </c>
    </row>
    <row r="9" spans="1:4" x14ac:dyDescent="0.3">
      <c r="A9" t="s">
        <v>8</v>
      </c>
      <c r="B9" t="e">
        <f>VLOOKUP(A9,Building!A:A,1,FALSE)</f>
        <v>#N/A</v>
      </c>
      <c r="C9" t="e">
        <f>VLOOKUP(A9,Distance!A:A,1,FALSE)</f>
        <v>#N/A</v>
      </c>
      <c r="D9" t="e">
        <f>VLOOKUP(A9,Sector!A:A,1,FALSE)</f>
        <v>#N/A</v>
      </c>
    </row>
    <row r="10" spans="1:4" hidden="1" x14ac:dyDescent="0.3">
      <c r="A10" t="s">
        <v>9</v>
      </c>
      <c r="B10" t="str">
        <f>VLOOKUP(A10,Building!A:A,1,FALSE)</f>
        <v>LINDLEY HALL</v>
      </c>
      <c r="C10" t="str">
        <f>VLOOKUP(A10,Distance!A:A,1,FALSE)</f>
        <v>LINDLEY HALL</v>
      </c>
      <c r="D10" t="str">
        <f>VLOOKUP(A10,Sector!A:A,1,FALSE)</f>
        <v>LINDLEY HALL</v>
      </c>
    </row>
    <row r="11" spans="1:4" hidden="1" x14ac:dyDescent="0.3">
      <c r="A11" t="s">
        <v>10</v>
      </c>
      <c r="B11" t="str">
        <f>VLOOKUP(A11,Building!A:A,1,FALSE)</f>
        <v>LUDDY HALL (INFORMATICS)</v>
      </c>
      <c r="C11" t="str">
        <f>VLOOKUP(A11,Distance!A:A,1,FALSE)</f>
        <v>LUDDY HALL (INFORMATICS)</v>
      </c>
      <c r="D11" t="e">
        <f>VLOOKUP(A11,Sector!A:A,1,FALSE)</f>
        <v>#N/A</v>
      </c>
    </row>
    <row r="12" spans="1:4" hidden="1" x14ac:dyDescent="0.3">
      <c r="A12" t="s">
        <v>11</v>
      </c>
      <c r="B12" t="str">
        <f>VLOOKUP(A12,Building!A:A,1,FALSE)</f>
        <v>PSYCHOLOGY</v>
      </c>
      <c r="C12" t="str">
        <f>VLOOKUP(A12,Distance!A:A,1,FALSE)</f>
        <v>PSYCHOLOGY</v>
      </c>
      <c r="D12" t="str">
        <f>VLOOKUP(A12,Sector!A:A,1,FALSE)</f>
        <v>PSYCHOLOGY</v>
      </c>
    </row>
    <row r="13" spans="1:4" hidden="1" x14ac:dyDescent="0.3">
      <c r="A13" t="s">
        <v>12</v>
      </c>
      <c r="B13" t="str">
        <f>VLOOKUP(A13,Building!A:A,1,FALSE)</f>
        <v>SCHOOL OF PUBLIC HEALTH</v>
      </c>
      <c r="C13" t="str">
        <f>VLOOKUP(A13,Distance!A:A,1,FALSE)</f>
        <v>SCHOOL OF PUBLIC HEALTH</v>
      </c>
      <c r="D13" t="e">
        <f>VLOOKUP(A13,Sector!A:A,1,FALSE)</f>
        <v>#N/A</v>
      </c>
    </row>
    <row r="14" spans="1:4" hidden="1" x14ac:dyDescent="0.3">
      <c r="A14" t="s">
        <v>13</v>
      </c>
      <c r="B14" t="str">
        <f>VLOOKUP(A14,Building!A:A,1,FALSE)</f>
        <v>SIMON MSC LBR REC</v>
      </c>
      <c r="C14" t="str">
        <f>VLOOKUP(A14,Distance!A:A,1,FALSE)</f>
        <v>SIMON MSC LBR REC</v>
      </c>
      <c r="D14" t="str">
        <f>VLOOKUP(A14,Sector!A:A,1,FALSE)</f>
        <v>SIMON MSC LBR REC</v>
      </c>
    </row>
    <row r="15" spans="1:4" hidden="1" x14ac:dyDescent="0.3">
      <c r="A15" t="s">
        <v>14</v>
      </c>
      <c r="B15" t="str">
        <f>VLOOKUP(A15,Building!A:A,1,FALSE)</f>
        <v>SPEA</v>
      </c>
      <c r="C15" t="str">
        <f>VLOOKUP(A15,Distance!A:A,1,FALSE)</f>
        <v>SPEA</v>
      </c>
      <c r="D15" t="str">
        <f>VLOOKUP(A15,Sector!A:A,1,FALSE)</f>
        <v>SPEA</v>
      </c>
    </row>
    <row r="16" spans="1:4" hidden="1" x14ac:dyDescent="0.3">
      <c r="A16" t="s">
        <v>15</v>
      </c>
      <c r="B16" t="str">
        <f>VLOOKUP(A16,Building!A:A,1,FALSE)</f>
        <v>SPRUCE HALL</v>
      </c>
      <c r="C16" t="str">
        <f>VLOOKUP(A16,Distance!A:A,1,FALSE)</f>
        <v>SPRUCE HALL</v>
      </c>
      <c r="D16" t="str">
        <f>VLOOKUP(A16,Sector!A:A,1,FALSE)</f>
        <v>SPRUCE HALL</v>
      </c>
    </row>
    <row r="17" spans="1:4" x14ac:dyDescent="0.3">
      <c r="A17" t="s">
        <v>16</v>
      </c>
      <c r="B17" t="e">
        <f>VLOOKUP(A17,Building!A:A,1,FALSE)</f>
        <v>#N/A</v>
      </c>
      <c r="C17" t="e">
        <f>VLOOKUP(A17,Distance!A:A,1,FALSE)</f>
        <v>#N/A</v>
      </c>
      <c r="D17" t="e">
        <f>VLOOKUP(A17,Sector!A:A,1,FALSE)</f>
        <v>#N/A</v>
      </c>
    </row>
    <row r="18" spans="1:4" hidden="1" x14ac:dyDescent="0.3">
      <c r="A18" t="s">
        <v>17</v>
      </c>
      <c r="B18" t="str">
        <f>VLOOKUP(A18,Building!A:A,1,FALSE)</f>
        <v>WENDELL W. WRIGHT</v>
      </c>
      <c r="C18" t="str">
        <f>VLOOKUP(A18,Distance!A:A,1,FALSE)</f>
        <v>WENDELL W. WRIGHT</v>
      </c>
      <c r="D18" t="str">
        <f>VLOOKUP(A18,Sector!A:A,1,FALSE)</f>
        <v>WENDELL W. WRIGHT</v>
      </c>
    </row>
    <row r="19" spans="1:4" hidden="1" x14ac:dyDescent="0.3">
      <c r="A19" t="s">
        <v>18</v>
      </c>
      <c r="B19" t="str">
        <f>VLOOKUP(A19,Building!A:A,1,FALSE)</f>
        <v>WOODBURN HALL</v>
      </c>
      <c r="C19" t="str">
        <f>VLOOKUP(A19,Distance!A:A,1,FALSE)</f>
        <v>WOODBURN HALL</v>
      </c>
      <c r="D19" t="str">
        <f>VLOOKUP(A19,Sector!A:A,1,FALSE)</f>
        <v>WOODBURN HALL</v>
      </c>
    </row>
    <row r="20" spans="1:4" hidden="1" x14ac:dyDescent="0.3">
      <c r="A20" t="s">
        <v>19</v>
      </c>
      <c r="B20" t="str">
        <f>VLOOKUP(A20,Building!A:A,1,FALSE)</f>
        <v>WYLIE HALL</v>
      </c>
      <c r="C20" t="str">
        <f>VLOOKUP(A20,Distance!A:A,1,FALSE)</f>
        <v>WYLIE HALL</v>
      </c>
      <c r="D20" t="str">
        <f>VLOOKUP(A20,Sector!A:A,1,FALSE)</f>
        <v>WYLIE HALL</v>
      </c>
    </row>
    <row r="21" spans="1:4" x14ac:dyDescent="0.3">
      <c r="A21" t="s">
        <v>20</v>
      </c>
      <c r="B21" t="e">
        <f>VLOOKUP(A21,Building!A:A,1,FALSE)</f>
        <v>#N/A</v>
      </c>
      <c r="C21" t="e">
        <f>VLOOKUP(A21,Distance!A:A,1,FALSE)</f>
        <v>#N/A</v>
      </c>
      <c r="D21" t="e">
        <f>VLOOKUP(A21,Sector!A:A,1,FALSE)</f>
        <v>#N/A</v>
      </c>
    </row>
    <row r="22" spans="1:4" x14ac:dyDescent="0.3">
      <c r="A22" t="s">
        <v>21</v>
      </c>
      <c r="B22" t="e">
        <f>VLOOKUP(A22,Building!A:A,1,FALSE)</f>
        <v>#N/A</v>
      </c>
      <c r="C22" t="e">
        <f>VLOOKUP(A22,Distance!A:A,1,FALSE)</f>
        <v>#N/A</v>
      </c>
      <c r="D22" t="e">
        <f>VLOOKUP(A22,Sector!A:A,1,FALSE)</f>
        <v>#N/A</v>
      </c>
    </row>
    <row r="23" spans="1:4" x14ac:dyDescent="0.3">
      <c r="A23" t="s">
        <v>22</v>
      </c>
      <c r="B23" t="e">
        <f>VLOOKUP(A23,Building!A:A,1,FALSE)</f>
        <v>#N/A</v>
      </c>
      <c r="C23" t="e">
        <f>VLOOKUP(A23,Distance!A:A,1,FALSE)</f>
        <v>#N/A</v>
      </c>
      <c r="D23" t="e">
        <f>VLOOKUP(A23,Sector!A:A,1,FALSE)</f>
        <v>#N/A</v>
      </c>
    </row>
    <row r="24" spans="1:4" x14ac:dyDescent="0.3">
      <c r="A24" t="s">
        <v>23</v>
      </c>
      <c r="B24" t="e">
        <f>VLOOKUP(A24,Building!A:A,1,FALSE)</f>
        <v>#N/A</v>
      </c>
      <c r="C24" t="e">
        <f>VLOOKUP(A24,Distance!A:A,1,FALSE)</f>
        <v>#N/A</v>
      </c>
      <c r="D24" t="e">
        <f>VLOOKUP(A24,Sector!A:A,1,FALSE)</f>
        <v>#N/A</v>
      </c>
    </row>
    <row r="25" spans="1:4" x14ac:dyDescent="0.3">
      <c r="A25" t="s">
        <v>24</v>
      </c>
      <c r="B25" t="e">
        <f>VLOOKUP(A25,Building!A:A,1,FALSE)</f>
        <v>#N/A</v>
      </c>
      <c r="C25" t="e">
        <f>VLOOKUP(A25,Distance!A:A,1,FALSE)</f>
        <v>#N/A</v>
      </c>
      <c r="D25" t="e">
        <f>VLOOKUP(A25,Sector!A:A,1,FALSE)</f>
        <v>#N/A</v>
      </c>
    </row>
    <row r="26" spans="1:4" x14ac:dyDescent="0.3">
      <c r="A26" t="s">
        <v>25</v>
      </c>
      <c r="B26" t="e">
        <f>VLOOKUP(A26,Building!A:A,1,FALSE)</f>
        <v>#N/A</v>
      </c>
      <c r="C26" t="e">
        <f>VLOOKUP(A26,Distance!A:A,1,FALSE)</f>
        <v>#N/A</v>
      </c>
      <c r="D26" t="e">
        <f>VLOOKUP(A26,Sector!A:A,1,FALSE)</f>
        <v>#N/A</v>
      </c>
    </row>
    <row r="27" spans="1:4" x14ac:dyDescent="0.3">
      <c r="A27" t="s">
        <v>26</v>
      </c>
      <c r="B27" t="e">
        <f>VLOOKUP(A27,Building!A:A,1,FALSE)</f>
        <v>#N/A</v>
      </c>
      <c r="C27" t="e">
        <f>VLOOKUP(A27,Distance!A:A,1,FALSE)</f>
        <v>#N/A</v>
      </c>
      <c r="D27" t="e">
        <f>VLOOKUP(A27,Sector!A:A,1,FALSE)</f>
        <v>#N/A</v>
      </c>
    </row>
    <row r="28" spans="1:4" x14ac:dyDescent="0.3">
      <c r="A28" t="s">
        <v>27</v>
      </c>
      <c r="B28" t="e">
        <f>VLOOKUP(A28,Building!A:A,1,FALSE)</f>
        <v>#N/A</v>
      </c>
      <c r="C28" t="e">
        <f>VLOOKUP(A28,Distance!A:A,1,FALSE)</f>
        <v>#N/A</v>
      </c>
      <c r="D28" t="e">
        <f>VLOOKUP(A28,Sector!A:A,1,FALSE)</f>
        <v>#N/A</v>
      </c>
    </row>
    <row r="29" spans="1:4" hidden="1" x14ac:dyDescent="0.3">
      <c r="A29" t="s">
        <v>28</v>
      </c>
      <c r="B29" t="str">
        <f>VLOOKUP(A29,Building!A:A,1,FALSE)</f>
        <v>GODFREY GRAD&amp;EXEC ED CTR</v>
      </c>
      <c r="C29" t="str">
        <f>VLOOKUP(A29,Distance!A:A,1,FALSE)</f>
        <v>GODFREY GRAD&amp;EXEC ED CTR</v>
      </c>
      <c r="D29" t="str">
        <f>VLOOKUP(A29,Sector!A:A,1,FALSE)</f>
        <v>GODFREY GRAD&amp;EXEC ED CTR</v>
      </c>
    </row>
    <row r="30" spans="1:4" x14ac:dyDescent="0.3">
      <c r="A30" t="s">
        <v>29</v>
      </c>
      <c r="B30" t="e">
        <f>VLOOKUP(A30,Building!A:A,1,FALSE)</f>
        <v>#N/A</v>
      </c>
      <c r="C30" t="e">
        <f>VLOOKUP(A30,Distance!A:A,1,FALSE)</f>
        <v>#N/A</v>
      </c>
      <c r="D30" t="e">
        <f>VLOOKUP(A30,Sector!A:A,1,FALSE)</f>
        <v>#N/A</v>
      </c>
    </row>
    <row r="31" spans="1:4" x14ac:dyDescent="0.3">
      <c r="A31" t="s">
        <v>30</v>
      </c>
      <c r="B31" t="e">
        <f>VLOOKUP(A31,Building!A:A,1,FALSE)</f>
        <v>#N/A</v>
      </c>
      <c r="C31" t="e">
        <f>VLOOKUP(A31,Distance!A:A,1,FALSE)</f>
        <v>#N/A</v>
      </c>
      <c r="D31" t="e">
        <f>VLOOKUP(A31,Sector!A:A,1,FALSE)</f>
        <v>#N/A</v>
      </c>
    </row>
    <row r="32" spans="1:4" x14ac:dyDescent="0.3">
      <c r="A32" t="s">
        <v>31</v>
      </c>
      <c r="B32" t="e">
        <f>VLOOKUP(A32,Building!A:A,1,FALSE)</f>
        <v>#N/A</v>
      </c>
      <c r="C32" t="e">
        <f>VLOOKUP(A32,Distance!A:A,1,FALSE)</f>
        <v>#N/A</v>
      </c>
      <c r="D32" t="e">
        <f>VLOOKUP(A32,Sector!A:A,1,FALSE)</f>
        <v>#N/A</v>
      </c>
    </row>
    <row r="33" spans="1:4" x14ac:dyDescent="0.3">
      <c r="A33" t="s">
        <v>32</v>
      </c>
      <c r="B33" t="e">
        <f>VLOOKUP(A33,Building!A:A,1,FALSE)</f>
        <v>#N/A</v>
      </c>
      <c r="C33" t="e">
        <f>VLOOKUP(A33,Distance!A:A,1,FALSE)</f>
        <v>#N/A</v>
      </c>
      <c r="D33" t="e">
        <f>VLOOKUP(A33,Sector!A:A,1,FALSE)</f>
        <v>#N/A</v>
      </c>
    </row>
    <row r="34" spans="1:4" x14ac:dyDescent="0.3">
      <c r="A34" t="s">
        <v>33</v>
      </c>
      <c r="B34" t="e">
        <f>VLOOKUP(A34,Building!A:A,1,FALSE)</f>
        <v>#N/A</v>
      </c>
      <c r="C34" t="e">
        <f>VLOOKUP(A34,Distance!A:A,1,FALSE)</f>
        <v>#N/A</v>
      </c>
      <c r="D34" t="e">
        <f>VLOOKUP(A34,Sector!A:A,1,FALSE)</f>
        <v>#N/A</v>
      </c>
    </row>
    <row r="35" spans="1:4" hidden="1" x14ac:dyDescent="0.3">
      <c r="A35" t="s">
        <v>34</v>
      </c>
      <c r="B35" t="str">
        <f>VLOOKUP(A35,Building!A:A,1,FALSE)</f>
        <v>SIMON SKJODT ASSEMBLY HALL</v>
      </c>
      <c r="C35" t="str">
        <f>VLOOKUP(A35,Distance!A:A,1,FALSE)</f>
        <v>SIMON SKJODT ASSEMBLY HALL</v>
      </c>
      <c r="D35" t="str">
        <f>VLOOKUP(A35,Sector!A:A,1,FALSE)</f>
        <v>SIMON SKJODT ASSEMBLY HALL</v>
      </c>
    </row>
    <row r="36" spans="1:4" x14ac:dyDescent="0.3">
      <c r="A36" t="s">
        <v>35</v>
      </c>
      <c r="B36" t="e">
        <f>VLOOKUP(A36,Building!A:A,1,FALSE)</f>
        <v>#N/A</v>
      </c>
      <c r="C36" t="e">
        <f>VLOOKUP(A36,Distance!A:A,1,FALSE)</f>
        <v>#N/A</v>
      </c>
      <c r="D36" t="e">
        <f>VLOOKUP(A36,Sector!A:A,1,FALSE)</f>
        <v>#N/A</v>
      </c>
    </row>
    <row r="37" spans="1:4" x14ac:dyDescent="0.3">
      <c r="A37" t="s">
        <v>36</v>
      </c>
      <c r="B37" t="e">
        <f>VLOOKUP(A37,Building!A:A,1,FALSE)</f>
        <v>#N/A</v>
      </c>
      <c r="C37" t="e">
        <f>VLOOKUP(A37,Distance!A:A,1,FALSE)</f>
        <v>#N/A</v>
      </c>
      <c r="D37" t="e">
        <f>VLOOKUP(A37,Sector!A:A,1,FALSE)</f>
        <v>#N/A</v>
      </c>
    </row>
    <row r="38" spans="1:4" x14ac:dyDescent="0.3">
      <c r="A38" t="s">
        <v>37</v>
      </c>
      <c r="B38" t="e">
        <f>VLOOKUP(A38,Building!A:A,1,FALSE)</f>
        <v>#N/A</v>
      </c>
      <c r="C38" t="e">
        <f>VLOOKUP(A38,Distance!A:A,1,FALSE)</f>
        <v>#N/A</v>
      </c>
      <c r="D38" t="e">
        <f>VLOOKUP(A38,Sector!A:A,1,FALSE)</f>
        <v>#N/A</v>
      </c>
    </row>
    <row r="39" spans="1:4" x14ac:dyDescent="0.3">
      <c r="A39" t="s">
        <v>38</v>
      </c>
      <c r="B39" t="e">
        <f>VLOOKUP(A39,Building!A:A,1,FALSE)</f>
        <v>#N/A</v>
      </c>
      <c r="C39" t="e">
        <f>VLOOKUP(A39,Distance!A:A,1,FALSE)</f>
        <v>#N/A</v>
      </c>
      <c r="D39" t="e">
        <f>VLOOKUP(A39,Sector!A:A,1,FALSE)</f>
        <v>#N/A</v>
      </c>
    </row>
    <row r="40" spans="1:4" x14ac:dyDescent="0.3">
      <c r="A40" t="s">
        <v>39</v>
      </c>
      <c r="B40" t="e">
        <f>VLOOKUP(A40,Building!A:A,1,FALSE)</f>
        <v>#N/A</v>
      </c>
      <c r="C40" t="e">
        <f>VLOOKUP(A40,Distance!A:A,1,FALSE)</f>
        <v>#N/A</v>
      </c>
      <c r="D40" t="e">
        <f>VLOOKUP(A40,Sector!A:A,1,FALSE)</f>
        <v>#N/A</v>
      </c>
    </row>
    <row r="41" spans="1:4" hidden="1" x14ac:dyDescent="0.3">
      <c r="A41" t="s">
        <v>40</v>
      </c>
      <c r="B41" t="str">
        <f>VLOOKUP(A41,Building!A:A,1,FALSE)</f>
        <v>LOWELL E. BAIER HALL</v>
      </c>
      <c r="C41" t="str">
        <f>VLOOKUP(A41,Distance!A:A,1,FALSE)</f>
        <v>LOWELL E. BAIER HALL</v>
      </c>
      <c r="D41" t="str">
        <f>VLOOKUP(A41,Sector!A:A,1,FALSE)</f>
        <v>LOWELL E. BAIER HALL</v>
      </c>
    </row>
    <row r="42" spans="1:4" hidden="1" x14ac:dyDescent="0.3">
      <c r="A42" t="s">
        <v>41</v>
      </c>
      <c r="B42" t="str">
        <f>VLOOKUP(A42,Building!A:A,1,FALSE)</f>
        <v>4TH &amp; INDIANA-LEWIS BLDG</v>
      </c>
      <c r="C42" t="str">
        <f>VLOOKUP(A42,Distance!A:A,1,FALSE)</f>
        <v>4TH &amp; INDIANA-LEWIS BLDG</v>
      </c>
      <c r="D42" t="str">
        <f>VLOOKUP(A42,Sector!A:A,1,FALSE)</f>
        <v>4TH &amp; INDIANA-LEWIS BLDG</v>
      </c>
    </row>
    <row r="43" spans="1:4" x14ac:dyDescent="0.3">
      <c r="A43" t="s">
        <v>42</v>
      </c>
      <c r="B43" t="e">
        <f>VLOOKUP(A43,Building!A:A,1,FALSE)</f>
        <v>#N/A</v>
      </c>
      <c r="C43" t="e">
        <f>VLOOKUP(A43,Distance!A:A,1,FALSE)</f>
        <v>#N/A</v>
      </c>
      <c r="D43" t="e">
        <f>VLOOKUP(A43,Sector!A:A,1,FALSE)</f>
        <v>#N/A</v>
      </c>
    </row>
    <row r="44" spans="1:4" x14ac:dyDescent="0.3">
      <c r="A44" t="s">
        <v>43</v>
      </c>
      <c r="B44" t="e">
        <f>VLOOKUP(A44,Building!A:A,1,FALSE)</f>
        <v>#N/A</v>
      </c>
      <c r="C44" t="e">
        <f>VLOOKUP(A44,Distance!A:A,1,FALSE)</f>
        <v>#N/A</v>
      </c>
      <c r="D44" t="e">
        <f>VLOOKUP(A44,Sector!A:A,1,FALSE)</f>
        <v>#N/A</v>
      </c>
    </row>
    <row r="45" spans="1:4" x14ac:dyDescent="0.3">
      <c r="A45" t="s">
        <v>44</v>
      </c>
      <c r="B45" t="e">
        <f>VLOOKUP(A45,Building!A:A,1,FALSE)</f>
        <v>#N/A</v>
      </c>
      <c r="C45" t="e">
        <f>VLOOKUP(A45,Distance!A:A,1,FALSE)</f>
        <v>#N/A</v>
      </c>
      <c r="D45" t="e">
        <f>VLOOKUP(A45,Sector!A:A,1,FALSE)</f>
        <v>#N/A</v>
      </c>
    </row>
    <row r="46" spans="1:4" x14ac:dyDescent="0.3">
      <c r="A46" t="s">
        <v>45</v>
      </c>
      <c r="B46" t="e">
        <f>VLOOKUP(A46,Building!A:A,1,FALSE)</f>
        <v>#N/A</v>
      </c>
      <c r="C46" t="e">
        <f>VLOOKUP(A46,Distance!A:A,1,FALSE)</f>
        <v>#N/A</v>
      </c>
      <c r="D46" t="e">
        <f>VLOOKUP(A46,Sector!A:A,1,FALSE)</f>
        <v>#N/A</v>
      </c>
    </row>
    <row r="47" spans="1:4" x14ac:dyDescent="0.3">
      <c r="A47" t="s">
        <v>46</v>
      </c>
      <c r="B47" t="e">
        <f>VLOOKUP(A47,Building!A:A,1,FALSE)</f>
        <v>#N/A</v>
      </c>
      <c r="C47" t="e">
        <f>VLOOKUP(A47,Distance!A:A,1,FALSE)</f>
        <v>#N/A</v>
      </c>
      <c r="D47" t="e">
        <f>VLOOKUP(A47,Sector!A:A,1,FALSE)</f>
        <v>#N/A</v>
      </c>
    </row>
    <row r="48" spans="1:4" hidden="1" x14ac:dyDescent="0.3">
      <c r="A48" t="s">
        <v>47</v>
      </c>
      <c r="B48" t="str">
        <f>VLOOKUP(A48,Building!A:A,1,FALSE)</f>
        <v>AUDITORIUM</v>
      </c>
      <c r="C48" t="str">
        <f>VLOOKUP(A48,Distance!A:A,1,FALSE)</f>
        <v>AUDITORIUM</v>
      </c>
      <c r="D48" t="str">
        <f>VLOOKUP(A48,Sector!A:A,1,FALSE)</f>
        <v>AUDITORIUM</v>
      </c>
    </row>
    <row r="49" spans="1:4" hidden="1" x14ac:dyDescent="0.3">
      <c r="A49" t="s">
        <v>48</v>
      </c>
      <c r="B49" t="str">
        <f>VLOOKUP(A49,Building!A:A,1,FALSE)</f>
        <v>BILL GARRETT FIELDHOUSE</v>
      </c>
      <c r="C49" t="str">
        <f>VLOOKUP(A49,Distance!A:A,1,FALSE)</f>
        <v>BILL GARRETT FIELDHOUSE</v>
      </c>
      <c r="D49" t="str">
        <f>VLOOKUP(A49,Sector!A:A,1,FALSE)</f>
        <v>BILL GARRETT FIELDHOUSE</v>
      </c>
    </row>
    <row r="50" spans="1:4" hidden="1" x14ac:dyDescent="0.3">
      <c r="A50" t="s">
        <v>49</v>
      </c>
      <c r="B50" t="str">
        <f>VLOOKUP(A50,Building!A:A,1,FALSE)</f>
        <v>BIOLOGY BUILDING</v>
      </c>
      <c r="C50" t="str">
        <f>VLOOKUP(A50,Distance!A:A,1,FALSE)</f>
        <v>BIOLOGY BUILDING</v>
      </c>
      <c r="D50" t="str">
        <f>VLOOKUP(A50,Sector!A:A,1,FALSE)</f>
        <v>BIOLOGY BUILDING</v>
      </c>
    </row>
    <row r="51" spans="1:4" x14ac:dyDescent="0.3">
      <c r="A51" t="s">
        <v>50</v>
      </c>
      <c r="B51" t="e">
        <f>VLOOKUP(A51,Building!A:A,1,FALSE)</f>
        <v>#N/A</v>
      </c>
      <c r="C51" t="e">
        <f>VLOOKUP(A51,Distance!A:A,1,FALSE)</f>
        <v>#N/A</v>
      </c>
      <c r="D51" t="e">
        <f>VLOOKUP(A51,Sector!A:A,1,FALSE)</f>
        <v>#N/A</v>
      </c>
    </row>
    <row r="52" spans="1:4" hidden="1" x14ac:dyDescent="0.3">
      <c r="A52" t="s">
        <v>51</v>
      </c>
      <c r="B52" t="str">
        <f>VLOOKUP(A52,Building!A:A,1,FALSE)</f>
        <v>BRISCOE QUAD</v>
      </c>
      <c r="C52" t="str">
        <f>VLOOKUP(A52,Distance!A:A,1,FALSE)</f>
        <v>BRISCOE QUAD</v>
      </c>
      <c r="D52" t="str">
        <f>VLOOKUP(A52,Sector!A:A,1,FALSE)</f>
        <v>BRISCOE QUAD</v>
      </c>
    </row>
    <row r="53" spans="1:4" hidden="1" x14ac:dyDescent="0.3">
      <c r="A53" t="s">
        <v>52</v>
      </c>
      <c r="B53" t="str">
        <f>VLOOKUP(A53,Building!A:A,1,FALSE)</f>
        <v>CEDAR HALL</v>
      </c>
      <c r="C53" t="str">
        <f>VLOOKUP(A53,Distance!A:A,1,FALSE)</f>
        <v>CEDAR HALL</v>
      </c>
      <c r="D53" t="str">
        <f>VLOOKUP(A53,Sector!A:A,1,FALSE)</f>
        <v>CEDAR HALL</v>
      </c>
    </row>
    <row r="54" spans="1:4" hidden="1" x14ac:dyDescent="0.3">
      <c r="A54" t="s">
        <v>53</v>
      </c>
      <c r="B54" t="str">
        <f>VLOOKUP(A54,Building!A:A,1,FALSE)</f>
        <v>CHEMISTRY</v>
      </c>
      <c r="C54" t="str">
        <f>VLOOKUP(A54,Distance!A:A,1,FALSE)</f>
        <v>CHEMISTRY</v>
      </c>
      <c r="D54" t="str">
        <f>VLOOKUP(A54,Sector!A:A,1,FALSE)</f>
        <v>CHEMISTRY</v>
      </c>
    </row>
    <row r="55" spans="1:4" hidden="1" x14ac:dyDescent="0.3">
      <c r="A55" t="s">
        <v>54</v>
      </c>
      <c r="B55" t="str">
        <f>VLOOKUP(A55,Building!A:A,1,FALSE)</f>
        <v>CHEMISTRY ADDITION</v>
      </c>
      <c r="C55" t="str">
        <f>VLOOKUP(A55,Distance!A:A,1,FALSE)</f>
        <v>CHEMISTRY ADDITION</v>
      </c>
      <c r="D55" t="e">
        <f>VLOOKUP(A55,Sector!A:A,1,FALSE)</f>
        <v>#N/A</v>
      </c>
    </row>
    <row r="56" spans="1:4" hidden="1" x14ac:dyDescent="0.3">
      <c r="A56" t="s">
        <v>55</v>
      </c>
      <c r="B56" t="str">
        <f>VLOOKUP(A56,Building!A:A,1,FALSE)</f>
        <v>CLASSROOM-OFFICE BUILDING</v>
      </c>
      <c r="C56" t="str">
        <f>VLOOKUP(A56,Distance!A:A,1,FALSE)</f>
        <v>CLASSROOM-OFFICE BUILDING</v>
      </c>
      <c r="D56" t="str">
        <f>VLOOKUP(A56,Sector!A:A,1,FALSE)</f>
        <v>CLASSROOM-OFFICE BUILDING</v>
      </c>
    </row>
    <row r="57" spans="1:4" x14ac:dyDescent="0.3">
      <c r="A57" t="s">
        <v>56</v>
      </c>
      <c r="B57" t="e">
        <f>VLOOKUP(A57,Building!A:A,1,FALSE)</f>
        <v>#N/A</v>
      </c>
      <c r="C57" t="e">
        <f>VLOOKUP(A57,Distance!A:A,1,FALSE)</f>
        <v>#N/A</v>
      </c>
      <c r="D57" t="e">
        <f>VLOOKUP(A57,Sector!A:A,1,FALSE)</f>
        <v>#N/A</v>
      </c>
    </row>
    <row r="58" spans="1:4" x14ac:dyDescent="0.3">
      <c r="A58" t="s">
        <v>57</v>
      </c>
      <c r="B58" t="e">
        <f>VLOOKUP(A58,Building!A:A,1,FALSE)</f>
        <v>#N/A</v>
      </c>
      <c r="C58" t="e">
        <f>VLOOKUP(A58,Distance!A:A,1,FALSE)</f>
        <v>#N/A</v>
      </c>
      <c r="D58" t="e">
        <f>VLOOKUP(A58,Sector!A:A,1,FALSE)</f>
        <v>#N/A</v>
      </c>
    </row>
    <row r="59" spans="1:4" x14ac:dyDescent="0.3">
      <c r="A59" t="s">
        <v>58</v>
      </c>
      <c r="B59" t="e">
        <f>VLOOKUP(A59,Building!A:A,1,FALSE)</f>
        <v>#N/A</v>
      </c>
      <c r="C59" t="e">
        <f>VLOOKUP(A59,Distance!A:A,1,FALSE)</f>
        <v>#N/A</v>
      </c>
      <c r="D59" t="e">
        <f>VLOOKUP(A59,Sector!A:A,1,FALSE)</f>
        <v>#N/A</v>
      </c>
    </row>
    <row r="60" spans="1:4" x14ac:dyDescent="0.3">
      <c r="A60" t="s">
        <v>59</v>
      </c>
      <c r="B60" t="e">
        <f>VLOOKUP(A60,Building!A:A,1,FALSE)</f>
        <v>#N/A</v>
      </c>
      <c r="C60" t="e">
        <f>VLOOKUP(A60,Distance!A:A,1,FALSE)</f>
        <v>#N/A</v>
      </c>
      <c r="D60" t="e">
        <f>VLOOKUP(A60,Sector!A:A,1,FALSE)</f>
        <v>#N/A</v>
      </c>
    </row>
    <row r="61" spans="1:4" x14ac:dyDescent="0.3">
      <c r="A61" t="s">
        <v>60</v>
      </c>
      <c r="B61" t="e">
        <f>VLOOKUP(A61,Building!A:A,1,FALSE)</f>
        <v>#N/A</v>
      </c>
      <c r="C61" t="e">
        <f>VLOOKUP(A61,Distance!A:A,1,FALSE)</f>
        <v>#N/A</v>
      </c>
      <c r="D61" t="e">
        <f>VLOOKUP(A61,Sector!A:A,1,FALSE)</f>
        <v>#N/A</v>
      </c>
    </row>
    <row r="62" spans="1:4" hidden="1" x14ac:dyDescent="0.3">
      <c r="A62" t="s">
        <v>61</v>
      </c>
      <c r="B62" t="str">
        <f>VLOOKUP(A62,Building!A:A,1,FALSE)</f>
        <v>EAST STUDIO BUILDING</v>
      </c>
      <c r="C62" t="str">
        <f>VLOOKUP(A62,Distance!A:A,1,FALSE)</f>
        <v>EAST STUDIO BUILDING</v>
      </c>
      <c r="D62" t="str">
        <f>VLOOKUP(A62,Sector!A:A,1,FALSE)</f>
        <v>EAST STUDIO BUILDING</v>
      </c>
    </row>
    <row r="63" spans="1:4" hidden="1" x14ac:dyDescent="0.3">
      <c r="A63" t="s">
        <v>62</v>
      </c>
      <c r="B63" t="str">
        <f>VLOOKUP(A63,Building!A:A,1,FALSE)</f>
        <v>EDMONDSON HALL</v>
      </c>
      <c r="C63" t="str">
        <f>VLOOKUP(A63,Distance!A:A,1,FALSE)</f>
        <v>EDMONDSON HALL</v>
      </c>
      <c r="D63" t="e">
        <f>VLOOKUP(A63,Sector!A:A,1,FALSE)</f>
        <v>#N/A</v>
      </c>
    </row>
    <row r="64" spans="1:4" x14ac:dyDescent="0.3">
      <c r="A64" t="s">
        <v>63</v>
      </c>
      <c r="B64" t="e">
        <f>VLOOKUP(A64,Building!A:A,1,FALSE)</f>
        <v>#N/A</v>
      </c>
      <c r="C64" t="e">
        <f>VLOOKUP(A64,Distance!A:A,1,FALSE)</f>
        <v>#N/A</v>
      </c>
      <c r="D64" t="e">
        <f>VLOOKUP(A64,Sector!A:A,1,FALSE)</f>
        <v>#N/A</v>
      </c>
    </row>
    <row r="65" spans="1:4" x14ac:dyDescent="0.3">
      <c r="A65" t="s">
        <v>64</v>
      </c>
      <c r="B65" t="e">
        <f>VLOOKUP(A65,Building!A:A,1,FALSE)</f>
        <v>#N/A</v>
      </c>
      <c r="C65" t="e">
        <f>VLOOKUP(A65,Distance!A:A,1,FALSE)</f>
        <v>#N/A</v>
      </c>
      <c r="D65" t="e">
        <f>VLOOKUP(A65,Sector!A:A,1,FALSE)</f>
        <v>#N/A</v>
      </c>
    </row>
    <row r="66" spans="1:4" hidden="1" x14ac:dyDescent="0.3">
      <c r="A66" t="s">
        <v>65</v>
      </c>
      <c r="B66" t="str">
        <f>VLOOKUP(A66,Building!A:A,1,FALSE)</f>
        <v>ERNIE PYLE HALL</v>
      </c>
      <c r="C66" t="str">
        <f>VLOOKUP(A66,Distance!A:A,1,FALSE)</f>
        <v>ERNIE PYLE HALL</v>
      </c>
      <c r="D66" t="str">
        <f>VLOOKUP(A66,Sector!A:A,1,FALSE)</f>
        <v>ERNIE PYLE HALL</v>
      </c>
    </row>
    <row r="67" spans="1:4" x14ac:dyDescent="0.3">
      <c r="A67" t="s">
        <v>66</v>
      </c>
      <c r="B67" t="e">
        <f>VLOOKUP(A67,Building!A:A,1,FALSE)</f>
        <v>#N/A</v>
      </c>
      <c r="C67" t="e">
        <f>VLOOKUP(A67,Distance!A:A,1,FALSE)</f>
        <v>#N/A</v>
      </c>
      <c r="D67" t="e">
        <f>VLOOKUP(A67,Sector!A:A,1,FALSE)</f>
        <v>#N/A</v>
      </c>
    </row>
    <row r="68" spans="1:4" x14ac:dyDescent="0.3">
      <c r="A68" t="s">
        <v>67</v>
      </c>
      <c r="B68" t="e">
        <f>VLOOKUP(A68,Building!A:A,1,FALSE)</f>
        <v>#N/A</v>
      </c>
      <c r="C68" t="e">
        <f>VLOOKUP(A68,Distance!A:A,1,FALSE)</f>
        <v>#N/A</v>
      </c>
      <c r="D68" t="e">
        <f>VLOOKUP(A68,Sector!A:A,1,FALSE)</f>
        <v>#N/A</v>
      </c>
    </row>
    <row r="69" spans="1:4" hidden="1" x14ac:dyDescent="0.3">
      <c r="A69" t="s">
        <v>68</v>
      </c>
      <c r="B69" t="str">
        <f>VLOOKUP(A69,Building!A:A,1,FALSE)</f>
        <v>ESKENAZI WOOD AND METAL SHOP</v>
      </c>
      <c r="C69" t="str">
        <f>VLOOKUP(A69,Distance!A:A,1,FALSE)</f>
        <v>ESKENAZI WOOD AND METAL SHOP</v>
      </c>
      <c r="D69" t="str">
        <f>VLOOKUP(A69,Sector!A:A,1,FALSE)</f>
        <v>ESKENAZI WOOD AND METAL SHOP</v>
      </c>
    </row>
    <row r="70" spans="1:4" x14ac:dyDescent="0.3">
      <c r="A70" t="s">
        <v>69</v>
      </c>
      <c r="B70" t="e">
        <f>VLOOKUP(A70,Building!A:A,1,FALSE)</f>
        <v>#N/A</v>
      </c>
      <c r="C70" t="e">
        <f>VLOOKUP(A70,Distance!A:A,1,FALSE)</f>
        <v>#N/A</v>
      </c>
      <c r="D70" t="e">
        <f>VLOOKUP(A70,Sector!A:A,1,FALSE)</f>
        <v>#N/A</v>
      </c>
    </row>
    <row r="71" spans="1:4" hidden="1" x14ac:dyDescent="0.3">
      <c r="A71" t="s">
        <v>70</v>
      </c>
      <c r="B71" t="str">
        <f>VLOOKUP(A71,Building!A:A,1,FALSE)</f>
        <v>FINE ARTS</v>
      </c>
      <c r="C71" t="str">
        <f>VLOOKUP(A71,Distance!A:A,1,FALSE)</f>
        <v>FINE ARTS</v>
      </c>
      <c r="D71" t="str">
        <f>VLOOKUP(A71,Sector!A:A,1,FALSE)</f>
        <v>FINE ARTS</v>
      </c>
    </row>
    <row r="72" spans="1:4" hidden="1" x14ac:dyDescent="0.3">
      <c r="A72" t="s">
        <v>71</v>
      </c>
      <c r="B72" t="str">
        <f>VLOOKUP(A72,Building!A:A,1,FALSE)</f>
        <v>FOREST QUAD</v>
      </c>
      <c r="C72" t="str">
        <f>VLOOKUP(A72,Distance!A:A,1,FALSE)</f>
        <v>FOREST QUAD</v>
      </c>
      <c r="D72" t="str">
        <f>VLOOKUP(A72,Sector!A:A,1,FALSE)</f>
        <v>FOREST QUAD</v>
      </c>
    </row>
    <row r="73" spans="1:4" hidden="1" x14ac:dyDescent="0.3">
      <c r="A73" t="s">
        <v>72</v>
      </c>
      <c r="B73" t="str">
        <f>VLOOKUP(A73,Building!A:A,1,FALSE)</f>
        <v>GEOLOGICAL SCIENCES</v>
      </c>
      <c r="C73" t="str">
        <f>VLOOKUP(A73,Distance!A:A,1,FALSE)</f>
        <v>GEOLOGICAL SCIENCES</v>
      </c>
      <c r="D73" t="str">
        <f>VLOOKUP(A73,Sector!A:A,1,FALSE)</f>
        <v>GEOLOGICAL SCIENCES</v>
      </c>
    </row>
    <row r="74" spans="1:4" hidden="1" x14ac:dyDescent="0.3">
      <c r="A74" t="s">
        <v>73</v>
      </c>
      <c r="B74" t="str">
        <f>VLOOKUP(A74,Building!A:A,1,FALSE)</f>
        <v>GRESHAM DINING HALL</v>
      </c>
      <c r="C74" t="str">
        <f>VLOOKUP(A74,Distance!A:A,1,FALSE)</f>
        <v>GRESHAM DINING HALL</v>
      </c>
      <c r="D74" t="str">
        <f>VLOOKUP(A74,Sector!A:A,1,FALSE)</f>
        <v>GRESHAM DINING HALL</v>
      </c>
    </row>
    <row r="75" spans="1:4" x14ac:dyDescent="0.3">
      <c r="A75" t="s">
        <v>74</v>
      </c>
      <c r="B75" t="e">
        <f>VLOOKUP(A75,Building!A:A,1,FALSE)</f>
        <v>#N/A</v>
      </c>
      <c r="C75" t="e">
        <f>VLOOKUP(A75,Distance!A:A,1,FALSE)</f>
        <v>#N/A</v>
      </c>
      <c r="D75" t="e">
        <f>VLOOKUP(A75,Sector!A:A,1,FALSE)</f>
        <v>#N/A</v>
      </c>
    </row>
    <row r="76" spans="1:4" x14ac:dyDescent="0.3">
      <c r="A76" t="s">
        <v>75</v>
      </c>
      <c r="B76" t="e">
        <f>VLOOKUP(A76,Building!A:A,1,FALSE)</f>
        <v>#N/A</v>
      </c>
      <c r="C76" t="e">
        <f>VLOOKUP(A76,Distance!A:A,1,FALSE)</f>
        <v>#N/A</v>
      </c>
      <c r="D76" t="e">
        <f>VLOOKUP(A76,Sector!A:A,1,FALSE)</f>
        <v>#N/A</v>
      </c>
    </row>
    <row r="77" spans="1:4" x14ac:dyDescent="0.3">
      <c r="A77" t="s">
        <v>76</v>
      </c>
      <c r="B77" t="e">
        <f>VLOOKUP(A77,Building!A:A,1,FALSE)</f>
        <v>#N/A</v>
      </c>
      <c r="C77" t="e">
        <f>VLOOKUP(A77,Distance!A:A,1,FALSE)</f>
        <v>#N/A</v>
      </c>
      <c r="D77" t="e">
        <f>VLOOKUP(A77,Sector!A:A,1,FALSE)</f>
        <v>#N/A</v>
      </c>
    </row>
    <row r="78" spans="1:4" hidden="1" x14ac:dyDescent="0.3">
      <c r="A78" t="s">
        <v>77</v>
      </c>
      <c r="B78" t="str">
        <f>VLOOKUP(A78,Building!A:A,1,FALSE)</f>
        <v>HUTTON HONORS COLLEGE</v>
      </c>
      <c r="C78" t="str">
        <f>VLOOKUP(A78,Distance!A:A,1,FALSE)</f>
        <v>HUTTON HONORS COLLEGE</v>
      </c>
      <c r="D78" t="str">
        <f>VLOOKUP(A78,Sector!A:A,1,FALSE)</f>
        <v>HUTTON HONORS COLLEGE</v>
      </c>
    </row>
    <row r="79" spans="1:4" hidden="1" x14ac:dyDescent="0.3">
      <c r="A79" t="s">
        <v>78</v>
      </c>
      <c r="B79" t="str">
        <f>VLOOKUP(A79,Building!A:A,1,FALSE)</f>
        <v>HILLEL CENTER</v>
      </c>
      <c r="C79" t="str">
        <f>VLOOKUP(A79,Distance!A:A,1,FALSE)</f>
        <v>HILLEL CENTER</v>
      </c>
      <c r="D79" t="str">
        <f>VLOOKUP(A79,Sector!A:A,1,FALSE)</f>
        <v>HILLEL CENTER</v>
      </c>
    </row>
    <row r="80" spans="1:4" x14ac:dyDescent="0.3">
      <c r="A80" t="s">
        <v>79</v>
      </c>
      <c r="B80" t="e">
        <f>VLOOKUP(A80,Building!A:A,1,FALSE)</f>
        <v>#N/A</v>
      </c>
      <c r="C80" t="e">
        <f>VLOOKUP(A80,Distance!A:A,1,FALSE)</f>
        <v>#N/A</v>
      </c>
      <c r="D80" t="e">
        <f>VLOOKUP(A80,Sector!A:A,1,FALSE)</f>
        <v>#N/A</v>
      </c>
    </row>
    <row r="81" spans="1:4" x14ac:dyDescent="0.3">
      <c r="A81" t="s">
        <v>80</v>
      </c>
      <c r="B81" t="e">
        <f>VLOOKUP(A81,Building!A:A,1,FALSE)</f>
        <v>#N/A</v>
      </c>
      <c r="C81" t="e">
        <f>VLOOKUP(A81,Distance!A:A,1,FALSE)</f>
        <v>#N/A</v>
      </c>
      <c r="D81" t="e">
        <f>VLOOKUP(A81,Sector!A:A,1,FALSE)</f>
        <v>#N/A</v>
      </c>
    </row>
    <row r="82" spans="1:4" x14ac:dyDescent="0.3">
      <c r="A82" t="s">
        <v>81</v>
      </c>
      <c r="B82" t="e">
        <f>VLOOKUP(A82,Building!A:A,1,FALSE)</f>
        <v>#N/A</v>
      </c>
      <c r="C82" t="e">
        <f>VLOOKUP(A82,Distance!A:A,1,FALSE)</f>
        <v>#N/A</v>
      </c>
      <c r="D82" t="e">
        <f>VLOOKUP(A82,Sector!A:A,1,FALSE)</f>
        <v>#N/A</v>
      </c>
    </row>
    <row r="83" spans="1:4" x14ac:dyDescent="0.3">
      <c r="A83" t="s">
        <v>82</v>
      </c>
      <c r="B83" t="e">
        <f>VLOOKUP(A83,Building!A:A,1,FALSE)</f>
        <v>#N/A</v>
      </c>
      <c r="C83" t="e">
        <f>VLOOKUP(A83,Distance!A:A,1,FALSE)</f>
        <v>#N/A</v>
      </c>
      <c r="D83" t="e">
        <f>VLOOKUP(A83,Sector!A:A,1,FALSE)</f>
        <v>#N/A</v>
      </c>
    </row>
    <row r="84" spans="1:4" x14ac:dyDescent="0.3">
      <c r="A84" t="s">
        <v>83</v>
      </c>
      <c r="B84" t="e">
        <f>VLOOKUP(A84,Building!A:A,1,FALSE)</f>
        <v>#N/A</v>
      </c>
      <c r="C84" t="e">
        <f>VLOOKUP(A84,Distance!A:A,1,FALSE)</f>
        <v>#N/A</v>
      </c>
      <c r="D84" t="e">
        <f>VLOOKUP(A84,Sector!A:A,1,FALSE)</f>
        <v>#N/A</v>
      </c>
    </row>
    <row r="85" spans="1:4" x14ac:dyDescent="0.3">
      <c r="A85" t="s">
        <v>84</v>
      </c>
      <c r="B85" t="e">
        <f>VLOOKUP(A85,Building!A:A,1,FALSE)</f>
        <v>#N/A</v>
      </c>
      <c r="C85" t="e">
        <f>VLOOKUP(A85,Distance!A:A,1,FALSE)</f>
        <v>#N/A</v>
      </c>
      <c r="D85" t="e">
        <f>VLOOKUP(A85,Sector!A:A,1,FALSE)</f>
        <v>#N/A</v>
      </c>
    </row>
    <row r="86" spans="1:4" x14ac:dyDescent="0.3">
      <c r="A86" t="s">
        <v>85</v>
      </c>
      <c r="B86" t="e">
        <f>VLOOKUP(A86,Building!A:A,1,FALSE)</f>
        <v>#N/A</v>
      </c>
      <c r="C86" t="e">
        <f>VLOOKUP(A86,Distance!A:A,1,FALSE)</f>
        <v>#N/A</v>
      </c>
      <c r="D86" t="e">
        <f>VLOOKUP(A86,Sector!A:A,1,FALSE)</f>
        <v>#N/A</v>
      </c>
    </row>
    <row r="87" spans="1:4" x14ac:dyDescent="0.3">
      <c r="A87" t="s">
        <v>86</v>
      </c>
      <c r="B87" t="e">
        <f>VLOOKUP(A87,Building!A:A,1,FALSE)</f>
        <v>#N/A</v>
      </c>
      <c r="C87" t="e">
        <f>VLOOKUP(A87,Distance!A:A,1,FALSE)</f>
        <v>#N/A</v>
      </c>
      <c r="D87" t="e">
        <f>VLOOKUP(A87,Sector!A:A,1,FALSE)</f>
        <v>#N/A</v>
      </c>
    </row>
    <row r="88" spans="1:4" x14ac:dyDescent="0.3">
      <c r="A88" t="s">
        <v>87</v>
      </c>
      <c r="B88" t="e">
        <f>VLOOKUP(A88,Building!A:A,1,FALSE)</f>
        <v>#N/A</v>
      </c>
      <c r="C88" t="e">
        <f>VLOOKUP(A88,Distance!A:A,1,FALSE)</f>
        <v>#N/A</v>
      </c>
      <c r="D88" t="e">
        <f>VLOOKUP(A88,Sector!A:A,1,FALSE)</f>
        <v>#N/A</v>
      </c>
    </row>
    <row r="89" spans="1:4" x14ac:dyDescent="0.3">
      <c r="A89" t="s">
        <v>88</v>
      </c>
      <c r="B89" t="e">
        <f>VLOOKUP(A89,Building!A:A,1,FALSE)</f>
        <v>#N/A</v>
      </c>
      <c r="C89" t="e">
        <f>VLOOKUP(A89,Distance!A:A,1,FALSE)</f>
        <v>#N/A</v>
      </c>
      <c r="D89" t="e">
        <f>VLOOKUP(A89,Sector!A:A,1,FALSE)</f>
        <v>#N/A</v>
      </c>
    </row>
    <row r="90" spans="1:4" x14ac:dyDescent="0.3">
      <c r="A90" t="s">
        <v>89</v>
      </c>
      <c r="B90" t="e">
        <f>VLOOKUP(A90,Building!A:A,1,FALSE)</f>
        <v>#N/A</v>
      </c>
      <c r="C90" t="e">
        <f>VLOOKUP(A90,Distance!A:A,1,FALSE)</f>
        <v>#N/A</v>
      </c>
      <c r="D90" t="e">
        <f>VLOOKUP(A90,Sector!A:A,1,FALSE)</f>
        <v>#N/A</v>
      </c>
    </row>
    <row r="91" spans="1:4" x14ac:dyDescent="0.3">
      <c r="A91" t="s">
        <v>90</v>
      </c>
      <c r="B91" t="e">
        <f>VLOOKUP(A91,Building!A:A,1,FALSE)</f>
        <v>#N/A</v>
      </c>
      <c r="C91" t="e">
        <f>VLOOKUP(A91,Distance!A:A,1,FALSE)</f>
        <v>#N/A</v>
      </c>
      <c r="D91" t="e">
        <f>VLOOKUP(A91,Sector!A:A,1,FALSE)</f>
        <v>#N/A</v>
      </c>
    </row>
    <row r="92" spans="1:4" x14ac:dyDescent="0.3">
      <c r="A92" t="s">
        <v>91</v>
      </c>
      <c r="B92" t="e">
        <f>VLOOKUP(A92,Building!A:A,1,FALSE)</f>
        <v>#N/A</v>
      </c>
      <c r="C92" t="e">
        <f>VLOOKUP(A92,Distance!A:A,1,FALSE)</f>
        <v>#N/A</v>
      </c>
      <c r="D92" t="e">
        <f>VLOOKUP(A92,Sector!A:A,1,FALSE)</f>
        <v>#N/A</v>
      </c>
    </row>
    <row r="93" spans="1:4" x14ac:dyDescent="0.3">
      <c r="A93" t="s">
        <v>92</v>
      </c>
      <c r="B93" t="e">
        <f>VLOOKUP(A93,Building!A:A,1,FALSE)</f>
        <v>#N/A</v>
      </c>
      <c r="C93" t="e">
        <f>VLOOKUP(A93,Distance!A:A,1,FALSE)</f>
        <v>#N/A</v>
      </c>
      <c r="D93" t="e">
        <f>VLOOKUP(A93,Sector!A:A,1,FALSE)</f>
        <v>#N/A</v>
      </c>
    </row>
    <row r="94" spans="1:4" hidden="1" x14ac:dyDescent="0.3">
      <c r="A94" t="s">
        <v>93</v>
      </c>
      <c r="B94" t="str">
        <f>VLOOKUP(A94,Building!A:A,1,FALSE)</f>
        <v>LUDDY CENTER FOR AI</v>
      </c>
      <c r="C94" t="str">
        <f>VLOOKUP(A94,Distance!A:A,1,FALSE)</f>
        <v>LUDDY CENTER FOR AI</v>
      </c>
      <c r="D94" t="str">
        <f>VLOOKUP(A94,Sector!A:A,1,FALSE)</f>
        <v>LUDDY CENTER FOR AI</v>
      </c>
    </row>
    <row r="95" spans="1:4" x14ac:dyDescent="0.3">
      <c r="A95" t="s">
        <v>94</v>
      </c>
      <c r="B95" t="e">
        <f>VLOOKUP(A95,Building!A:A,1,FALSE)</f>
        <v>#N/A</v>
      </c>
      <c r="C95" t="e">
        <f>VLOOKUP(A95,Distance!A:A,1,FALSE)</f>
        <v>#N/A</v>
      </c>
      <c r="D95" t="e">
        <f>VLOOKUP(A95,Sector!A:A,1,FALSE)</f>
        <v>#N/A</v>
      </c>
    </row>
    <row r="96" spans="1:4" x14ac:dyDescent="0.3">
      <c r="A96" t="s">
        <v>95</v>
      </c>
      <c r="B96" t="e">
        <f>VLOOKUP(A96,Building!A:A,1,FALSE)</f>
        <v>#N/A</v>
      </c>
      <c r="C96" t="e">
        <f>VLOOKUP(A96,Distance!A:A,1,FALSE)</f>
        <v>#N/A</v>
      </c>
      <c r="D96" t="e">
        <f>VLOOKUP(A96,Sector!A:A,1,FALSE)</f>
        <v>#N/A</v>
      </c>
    </row>
    <row r="97" spans="1:4" x14ac:dyDescent="0.3">
      <c r="A97" t="s">
        <v>96</v>
      </c>
      <c r="B97" t="e">
        <f>VLOOKUP(A97,Building!A:A,1,FALSE)</f>
        <v>#N/A</v>
      </c>
      <c r="C97" t="e">
        <f>VLOOKUP(A97,Distance!A:A,1,FALSE)</f>
        <v>#N/A</v>
      </c>
      <c r="D97" t="e">
        <f>VLOOKUP(A97,Sector!A:A,1,FALSE)</f>
        <v>#N/A</v>
      </c>
    </row>
    <row r="98" spans="1:4" hidden="1" x14ac:dyDescent="0.3">
      <c r="A98" t="s">
        <v>97</v>
      </c>
      <c r="B98" t="str">
        <f>VLOOKUP(A98,Building!A:A,1,FALSE)</f>
        <v>MCNUTT CENTRAL</v>
      </c>
      <c r="C98" t="str">
        <f>VLOOKUP(A98,Distance!A:A,1,FALSE)</f>
        <v>MCNUTT CENTRAL</v>
      </c>
      <c r="D98" t="str">
        <f>VLOOKUP(A98,Sector!A:A,1,FALSE)</f>
        <v>MCNUTT CENTRAL</v>
      </c>
    </row>
    <row r="99" spans="1:4" x14ac:dyDescent="0.3">
      <c r="A99" t="s">
        <v>98</v>
      </c>
      <c r="B99" t="e">
        <f>VLOOKUP(A99,Building!A:A,1,FALSE)</f>
        <v>#N/A</v>
      </c>
      <c r="C99" t="e">
        <f>VLOOKUP(A99,Distance!A:A,1,FALSE)</f>
        <v>#N/A</v>
      </c>
      <c r="D99" t="e">
        <f>VLOOKUP(A99,Sector!A:A,1,FALSE)</f>
        <v>#N/A</v>
      </c>
    </row>
    <row r="100" spans="1:4" hidden="1" x14ac:dyDescent="0.3">
      <c r="A100" t="s">
        <v>99</v>
      </c>
      <c r="B100" t="str">
        <f>VLOOKUP(A100,Building!A:A,1,FALSE)</f>
        <v>MERRILL HALL</v>
      </c>
      <c r="C100" t="str">
        <f>VLOOKUP(A100,Distance!A:A,1,FALSE)</f>
        <v>MERRILL HALL</v>
      </c>
      <c r="D100" t="str">
        <f>VLOOKUP(A100,Sector!A:A,1,FALSE)</f>
        <v>MERRILL HALL</v>
      </c>
    </row>
    <row r="101" spans="1:4" x14ac:dyDescent="0.3">
      <c r="A101" t="s">
        <v>100</v>
      </c>
      <c r="B101" t="e">
        <f>VLOOKUP(A101,Building!A:A,1,FALSE)</f>
        <v>#N/A</v>
      </c>
      <c r="C101" t="e">
        <f>VLOOKUP(A101,Distance!A:A,1,FALSE)</f>
        <v>#N/A</v>
      </c>
      <c r="D101" t="e">
        <f>VLOOKUP(A101,Sector!A:A,1,FALSE)</f>
        <v>#N/A</v>
      </c>
    </row>
    <row r="102" spans="1:4" hidden="1" x14ac:dyDescent="0.3">
      <c r="A102" t="s">
        <v>101</v>
      </c>
      <c r="B102" t="str">
        <f>VLOOKUP(A102,Building!A:A,1,FALSE)</f>
        <v>MORRISON HALL</v>
      </c>
      <c r="C102" t="str">
        <f>VLOOKUP(A102,Distance!A:A,1,FALSE)</f>
        <v>MORRISON HALL</v>
      </c>
      <c r="D102" t="str">
        <f>VLOOKUP(A102,Sector!A:A,1,FALSE)</f>
        <v>MORRISON HALL</v>
      </c>
    </row>
    <row r="103" spans="1:4" hidden="1" x14ac:dyDescent="0.3">
      <c r="A103" t="s">
        <v>102</v>
      </c>
      <c r="B103" t="str">
        <f>VLOOKUP(A103,Building!A:A,1,FALSE)</f>
        <v>MUSIC ADDITION</v>
      </c>
      <c r="C103" t="str">
        <f>VLOOKUP(A103,Distance!A:A,1,FALSE)</f>
        <v>MUSIC ADDITION</v>
      </c>
      <c r="D103" t="str">
        <f>VLOOKUP(A103,Sector!A:A,1,FALSE)</f>
        <v>MUSIC ADDITION</v>
      </c>
    </row>
    <row r="104" spans="1:4" hidden="1" x14ac:dyDescent="0.3">
      <c r="A104" t="s">
        <v>103</v>
      </c>
      <c r="B104" t="str">
        <f>VLOOKUP(A104,Building!A:A,1,FALSE)</f>
        <v>MUSICAL ARTS CENTER</v>
      </c>
      <c r="C104" t="str">
        <f>VLOOKUP(A104,Distance!A:A,1,FALSE)</f>
        <v>MUSICAL ARTS CENTER</v>
      </c>
      <c r="D104" t="str">
        <f>VLOOKUP(A104,Sector!A:A,1,FALSE)</f>
        <v>MUSICAL ARTS CENTER</v>
      </c>
    </row>
    <row r="105" spans="1:4" hidden="1" x14ac:dyDescent="0.3">
      <c r="A105" t="s">
        <v>104</v>
      </c>
      <c r="B105" t="str">
        <f>VLOOKUP(A105,Building!A:A,1,FALSE)</f>
        <v>MYERS HALL</v>
      </c>
      <c r="C105" t="str">
        <f>VLOOKUP(A105,Distance!A:A,1,FALSE)</f>
        <v>MYERS HALL</v>
      </c>
      <c r="D105" t="e">
        <f>VLOOKUP(A105,Sector!A:A,1,FALSE)</f>
        <v>#N/A</v>
      </c>
    </row>
    <row r="106" spans="1:4" hidden="1" x14ac:dyDescent="0.3">
      <c r="A106" t="s">
        <v>105</v>
      </c>
      <c r="B106" t="str">
        <f>VLOOKUP(A106,Building!A:A,1,FALSE)</f>
        <v>MYLES BRAND HALL</v>
      </c>
      <c r="C106" t="str">
        <f>VLOOKUP(A106,Distance!A:A,1,FALSE)</f>
        <v>MYLES BRAND HALL</v>
      </c>
      <c r="D106" t="str">
        <f>VLOOKUP(A106,Sector!A:A,1,FALSE)</f>
        <v>MYLES BRAND HALL</v>
      </c>
    </row>
    <row r="107" spans="1:4" x14ac:dyDescent="0.3">
      <c r="A107" t="s">
        <v>106</v>
      </c>
      <c r="B107" t="e">
        <f>VLOOKUP(A107,Building!A:A,1,FALSE)</f>
        <v>#N/A</v>
      </c>
      <c r="C107" t="e">
        <f>VLOOKUP(A107,Distance!A:A,1,FALSE)</f>
        <v>#N/A</v>
      </c>
      <c r="D107" t="e">
        <f>VLOOKUP(A107,Sector!A:A,1,FALSE)</f>
        <v>#N/A</v>
      </c>
    </row>
    <row r="108" spans="1:4" x14ac:dyDescent="0.3">
      <c r="A108" t="s">
        <v>107</v>
      </c>
      <c r="B108" t="e">
        <f>VLOOKUP(A108,Building!A:A,1,FALSE)</f>
        <v>#N/A</v>
      </c>
      <c r="C108" t="e">
        <f>VLOOKUP(A108,Distance!A:A,1,FALSE)</f>
        <v>#N/A</v>
      </c>
      <c r="D108" t="e">
        <f>VLOOKUP(A108,Sector!A:A,1,FALSE)</f>
        <v>#N/A</v>
      </c>
    </row>
    <row r="109" spans="1:4" x14ac:dyDescent="0.3">
      <c r="A109" t="s">
        <v>108</v>
      </c>
      <c r="B109" t="e">
        <f>VLOOKUP(A109,Building!A:A,1,FALSE)</f>
        <v>#N/A</v>
      </c>
      <c r="C109" t="e">
        <f>VLOOKUP(A109,Distance!A:A,1,FALSE)</f>
        <v>#N/A</v>
      </c>
      <c r="D109" t="e">
        <f>VLOOKUP(A109,Sector!A:A,1,FALSE)</f>
        <v>#N/A</v>
      </c>
    </row>
    <row r="110" spans="1:4" hidden="1" x14ac:dyDescent="0.3">
      <c r="A110" t="s">
        <v>109</v>
      </c>
      <c r="B110" t="str">
        <f>VLOOKUP(A110,Building!A:A,1,FALSE)</f>
        <v>OPTOMETRY SCHOOL</v>
      </c>
      <c r="C110" t="str">
        <f>VLOOKUP(A110,Distance!A:A,1,FALSE)</f>
        <v>OPTOMETRY SCHOOL</v>
      </c>
      <c r="D110" t="str">
        <f>VLOOKUP(A110,Sector!A:A,1,FALSE)</f>
        <v>OPTOMETRY SCHOOL</v>
      </c>
    </row>
    <row r="111" spans="1:4" x14ac:dyDescent="0.3">
      <c r="A111" t="s">
        <v>110</v>
      </c>
      <c r="B111" t="e">
        <f>VLOOKUP(A111,Building!A:A,1,FALSE)</f>
        <v>#N/A</v>
      </c>
      <c r="C111" t="e">
        <f>VLOOKUP(A111,Distance!A:A,1,FALSE)</f>
        <v>#N/A</v>
      </c>
      <c r="D111" t="e">
        <f>VLOOKUP(A111,Sector!A:A,1,FALSE)</f>
        <v>#N/A</v>
      </c>
    </row>
    <row r="112" spans="1:4" x14ac:dyDescent="0.3">
      <c r="A112" t="s">
        <v>111</v>
      </c>
      <c r="B112" t="e">
        <f>VLOOKUP(A112,Building!A:A,1,FALSE)</f>
        <v>#N/A</v>
      </c>
      <c r="C112" t="e">
        <f>VLOOKUP(A112,Distance!A:A,1,FALSE)</f>
        <v>#N/A</v>
      </c>
      <c r="D112" t="e">
        <f>VLOOKUP(A112,Sector!A:A,1,FALSE)</f>
        <v>#N/A</v>
      </c>
    </row>
    <row r="113" spans="1:4" hidden="1" x14ac:dyDescent="0.3">
      <c r="A113" t="s">
        <v>112</v>
      </c>
      <c r="B113" t="str">
        <f>VLOOKUP(A113,Building!A:A,1,FALSE)</f>
        <v>RADIO-TV</v>
      </c>
      <c r="C113" t="str">
        <f>VLOOKUP(A113,Distance!A:A,1,FALSE)</f>
        <v>RADIO-TV</v>
      </c>
      <c r="D113" t="str">
        <f>VLOOKUP(A113,Sector!A:A,1,FALSE)</f>
        <v>RADIO-TV</v>
      </c>
    </row>
    <row r="114" spans="1:4" x14ac:dyDescent="0.3">
      <c r="A114" t="s">
        <v>113</v>
      </c>
      <c r="B114" t="e">
        <f>VLOOKUP(A114,Building!A:A,1,FALSE)</f>
        <v>#N/A</v>
      </c>
      <c r="C114" t="e">
        <f>VLOOKUP(A114,Distance!A:A,1,FALSE)</f>
        <v>#N/A</v>
      </c>
      <c r="D114" t="e">
        <f>VLOOKUP(A114,Sector!A:A,1,FALSE)</f>
        <v>#N/A</v>
      </c>
    </row>
    <row r="115" spans="1:4" hidden="1" x14ac:dyDescent="0.3">
      <c r="A115" t="s">
        <v>114</v>
      </c>
      <c r="B115" t="str">
        <f>VLOOKUP(A115,Building!A:A,1,FALSE)</f>
        <v>RAWLES HALL</v>
      </c>
      <c r="C115" t="str">
        <f>VLOOKUP(A115,Distance!A:A,1,FALSE)</f>
        <v>RAWLES HALL</v>
      </c>
      <c r="D115" t="str">
        <f>VLOOKUP(A115,Sector!A:A,1,FALSE)</f>
        <v>RAWLES HALL</v>
      </c>
    </row>
    <row r="116" spans="1:4" hidden="1" x14ac:dyDescent="0.3">
      <c r="A116" t="s">
        <v>115</v>
      </c>
      <c r="B116" t="str">
        <f>VLOOKUP(A116,Building!A:A,1,FALSE)</f>
        <v>READ HALL</v>
      </c>
      <c r="C116" t="str">
        <f>VLOOKUP(A116,Distance!A:A,1,FALSE)</f>
        <v>READ HALL</v>
      </c>
      <c r="D116" t="str">
        <f>VLOOKUP(A116,Sector!A:A,1,FALSE)</f>
        <v>READ HALL</v>
      </c>
    </row>
    <row r="117" spans="1:4" hidden="1" x14ac:dyDescent="0.3">
      <c r="A117" t="s">
        <v>116</v>
      </c>
      <c r="B117" t="str">
        <f>VLOOKUP(A117,Building!A:A,1,FALSE)</f>
        <v>RECREATIONAL SPORTS</v>
      </c>
      <c r="C117" t="str">
        <f>VLOOKUP(A117,Distance!A:A,1,FALSE)</f>
        <v>RECREATIONAL SPORTS</v>
      </c>
      <c r="D117" t="str">
        <f>VLOOKUP(A117,Sector!A:A,1,FALSE)</f>
        <v>RECREATIONAL SPORTS</v>
      </c>
    </row>
    <row r="118" spans="1:4" x14ac:dyDescent="0.3">
      <c r="A118" t="s">
        <v>117</v>
      </c>
      <c r="B118" t="e">
        <f>VLOOKUP(A118,Building!A:A,1,FALSE)</f>
        <v>#N/A</v>
      </c>
      <c r="C118" t="e">
        <f>VLOOKUP(A118,Distance!A:A,1,FALSE)</f>
        <v>#N/A</v>
      </c>
      <c r="D118" t="e">
        <f>VLOOKUP(A118,Sector!A:A,1,FALSE)</f>
        <v>#N/A</v>
      </c>
    </row>
    <row r="119" spans="1:4" x14ac:dyDescent="0.3">
      <c r="A119" t="s">
        <v>118</v>
      </c>
      <c r="B119" t="e">
        <f>VLOOKUP(A119,Building!A:A,1,FALSE)</f>
        <v>#N/A</v>
      </c>
      <c r="C119" t="e">
        <f>VLOOKUP(A119,Distance!A:A,1,FALSE)</f>
        <v>#N/A</v>
      </c>
      <c r="D119" t="e">
        <f>VLOOKUP(A119,Sector!A:A,1,FALSE)</f>
        <v>#N/A</v>
      </c>
    </row>
    <row r="120" spans="1:4" x14ac:dyDescent="0.3">
      <c r="A120" t="s">
        <v>119</v>
      </c>
      <c r="B120" t="e">
        <f>VLOOKUP(A120,Building!A:A,1,FALSE)</f>
        <v>#N/A</v>
      </c>
      <c r="C120" t="e">
        <f>VLOOKUP(A120,Distance!A:A,1,FALSE)</f>
        <v>#N/A</v>
      </c>
      <c r="D120" t="e">
        <f>VLOOKUP(A120,Sector!A:A,1,FALSE)</f>
        <v>#N/A</v>
      </c>
    </row>
    <row r="121" spans="1:4" x14ac:dyDescent="0.3">
      <c r="A121" t="s">
        <v>120</v>
      </c>
      <c r="B121" t="e">
        <f>VLOOKUP(A121,Building!A:A,1,FALSE)</f>
        <v>#N/A</v>
      </c>
      <c r="C121" t="e">
        <f>VLOOKUP(A121,Distance!A:A,1,FALSE)</f>
        <v>#N/A</v>
      </c>
      <c r="D121" t="e">
        <f>VLOOKUP(A121,Sector!A:A,1,FALSE)</f>
        <v>#N/A</v>
      </c>
    </row>
    <row r="122" spans="1:4" x14ac:dyDescent="0.3">
      <c r="A122" t="s">
        <v>121</v>
      </c>
      <c r="B122" t="e">
        <f>VLOOKUP(A122,Building!A:A,1,FALSE)</f>
        <v>#N/A</v>
      </c>
      <c r="C122" t="e">
        <f>VLOOKUP(A122,Distance!A:A,1,FALSE)</f>
        <v>#N/A</v>
      </c>
      <c r="D122" t="e">
        <f>VLOOKUP(A122,Sector!A:A,1,FALSE)</f>
        <v>#N/A</v>
      </c>
    </row>
    <row r="123" spans="1:4" hidden="1" x14ac:dyDescent="0.3">
      <c r="A123" t="s">
        <v>122</v>
      </c>
      <c r="B123" t="str">
        <f>VLOOKUP(A123,Building!A:A,1,FALSE)</f>
        <v>SIMON HALL (SCIENCE)</v>
      </c>
      <c r="C123" t="str">
        <f>VLOOKUP(A123,Distance!A:A,1,FALSE)</f>
        <v>SIMON HALL (SCIENCE)</v>
      </c>
      <c r="D123" t="e">
        <f>VLOOKUP(A123,Sector!A:A,1,FALSE)</f>
        <v>#N/A</v>
      </c>
    </row>
    <row r="124" spans="1:4" hidden="1" x14ac:dyDescent="0.3">
      <c r="A124" t="s">
        <v>123</v>
      </c>
      <c r="B124" t="str">
        <f>VLOOKUP(A124,Building!A:A,1,FALSE)</f>
        <v>SOCIAL RESEARCH</v>
      </c>
      <c r="C124" t="str">
        <f>VLOOKUP(A124,Distance!A:A,1,FALSE)</f>
        <v>SOCIAL RESEARCH</v>
      </c>
      <c r="D124" t="str">
        <f>VLOOKUP(A124,Sector!A:A,1,FALSE)</f>
        <v>SOCIAL RESEARCH</v>
      </c>
    </row>
    <row r="125" spans="1:4" x14ac:dyDescent="0.3">
      <c r="A125" t="s">
        <v>124</v>
      </c>
      <c r="B125" t="e">
        <f>VLOOKUP(A125,Building!A:A,1,FALSE)</f>
        <v>#N/A</v>
      </c>
      <c r="C125" t="e">
        <f>VLOOKUP(A125,Distance!A:A,1,FALSE)</f>
        <v>#N/A</v>
      </c>
      <c r="D125" t="e">
        <f>VLOOKUP(A125,Sector!A:A,1,FALSE)</f>
        <v>#N/A</v>
      </c>
    </row>
    <row r="126" spans="1:4" x14ac:dyDescent="0.3">
      <c r="A126" t="s">
        <v>125</v>
      </c>
      <c r="B126" t="e">
        <f>VLOOKUP(A126,Building!A:A,1,FALSE)</f>
        <v>#N/A</v>
      </c>
      <c r="C126" t="e">
        <f>VLOOKUP(A126,Distance!A:A,1,FALSE)</f>
        <v>#N/A</v>
      </c>
      <c r="D126" t="e">
        <f>VLOOKUP(A126,Sector!A:A,1,FALSE)</f>
        <v>#N/A</v>
      </c>
    </row>
    <row r="127" spans="1:4" hidden="1" x14ac:dyDescent="0.3">
      <c r="A127" t="s">
        <v>126</v>
      </c>
      <c r="B127" t="str">
        <f>VLOOKUP(A127,Building!A:A,1,FALSE)</f>
        <v>STUDENT SERVICES</v>
      </c>
      <c r="C127" t="str">
        <f>VLOOKUP(A127,Distance!A:A,1,FALSE)</f>
        <v>STUDENT SERVICES</v>
      </c>
      <c r="D127" t="str">
        <f>VLOOKUP(A127,Sector!A:A,1,FALSE)</f>
        <v>STUDENT SERVICES</v>
      </c>
    </row>
    <row r="128" spans="1:4" hidden="1" x14ac:dyDescent="0.3">
      <c r="A128" t="s">
        <v>127</v>
      </c>
      <c r="B128" t="str">
        <f>VLOOKUP(A128,Building!A:A,1,FALSE)</f>
        <v>STUDIO ARTS ANNEX</v>
      </c>
      <c r="C128" t="str">
        <f>VLOOKUP(A128,Distance!A:A,1,FALSE)</f>
        <v>STUDIO ARTS ANNEX</v>
      </c>
      <c r="D128" t="str">
        <f>VLOOKUP(A128,Sector!A:A,1,FALSE)</f>
        <v>STUDIO ARTS ANNEX</v>
      </c>
    </row>
    <row r="129" spans="1:4" hidden="1" x14ac:dyDescent="0.3">
      <c r="A129" t="s">
        <v>128</v>
      </c>
      <c r="B129" t="str">
        <f>VLOOKUP(A129,Building!A:A,1,FALSE)</f>
        <v>SWAIN EAST</v>
      </c>
      <c r="C129" t="str">
        <f>VLOOKUP(A129,Distance!A:A,1,FALSE)</f>
        <v>SWAIN EAST</v>
      </c>
      <c r="D129" t="e">
        <f>VLOOKUP(A129,Sector!A:A,1,FALSE)</f>
        <v>#N/A</v>
      </c>
    </row>
    <row r="130" spans="1:4" hidden="1" x14ac:dyDescent="0.3">
      <c r="A130" t="s">
        <v>129</v>
      </c>
      <c r="B130" t="str">
        <f>VLOOKUP(A130,Building!A:A,1,FALSE)</f>
        <v>SWAIN WEST</v>
      </c>
      <c r="C130" t="str">
        <f>VLOOKUP(A130,Distance!A:A,1,FALSE)</f>
        <v>SWAIN WEST</v>
      </c>
      <c r="D130" t="str">
        <f>VLOOKUP(A130,Sector!A:A,1,FALSE)</f>
        <v>SWAIN WEST</v>
      </c>
    </row>
    <row r="131" spans="1:4" hidden="1" x14ac:dyDescent="0.3">
      <c r="A131" t="s">
        <v>130</v>
      </c>
      <c r="B131" t="str">
        <f>VLOOKUP(A131,Building!A:A,1,FALSE)</f>
        <v>TETER QUAD</v>
      </c>
      <c r="C131" t="str">
        <f>VLOOKUP(A131,Distance!A:A,1,FALSE)</f>
        <v>TETER QUAD</v>
      </c>
      <c r="D131" t="str">
        <f>VLOOKUP(A131,Sector!A:A,1,FALSE)</f>
        <v>TETER QUAD</v>
      </c>
    </row>
    <row r="132" spans="1:4" hidden="1" x14ac:dyDescent="0.3">
      <c r="A132" t="s">
        <v>131</v>
      </c>
      <c r="B132" t="str">
        <f>VLOOKUP(A132,Building!A:A,1,FALSE)</f>
        <v>THE HEALTH SCIENCES BUILDING</v>
      </c>
      <c r="C132" t="str">
        <f>VLOOKUP(A132,Distance!A:A,1,FALSE)</f>
        <v>THE HEALTH SCIENCES BUILDING</v>
      </c>
      <c r="D132" t="str">
        <f>VLOOKUP(A132,Sector!A:A,1,FALSE)</f>
        <v>THE HEALTH SCIENCES BUILDING</v>
      </c>
    </row>
    <row r="133" spans="1:4" x14ac:dyDescent="0.3">
      <c r="A133" t="s">
        <v>132</v>
      </c>
      <c r="B133" t="e">
        <f>VLOOKUP(A133,Building!A:A,1,FALSE)</f>
        <v>#N/A</v>
      </c>
      <c r="C133" t="e">
        <f>VLOOKUP(A133,Distance!A:A,1,FALSE)</f>
        <v>#N/A</v>
      </c>
      <c r="D133" t="e">
        <f>VLOOKUP(A133,Sector!A:A,1,FALSE)</f>
        <v>#N/A</v>
      </c>
    </row>
    <row r="134" spans="1:4" x14ac:dyDescent="0.3">
      <c r="A134" t="s">
        <v>133</v>
      </c>
      <c r="B134" t="e">
        <f>VLOOKUP(A134,Building!A:A,1,FALSE)</f>
        <v>#N/A</v>
      </c>
      <c r="C134" t="e">
        <f>VLOOKUP(A134,Distance!A:A,1,FALSE)</f>
        <v>#N/A</v>
      </c>
      <c r="D134" t="e">
        <f>VLOOKUP(A134,Sector!A:A,1,FALSE)</f>
        <v>#N/A</v>
      </c>
    </row>
    <row r="135" spans="1:4" x14ac:dyDescent="0.3">
      <c r="A135" t="s">
        <v>134</v>
      </c>
      <c r="B135" t="e">
        <f>VLOOKUP(A135,Building!A:A,1,FALSE)</f>
        <v>#N/A</v>
      </c>
      <c r="C135" t="e">
        <f>VLOOKUP(A135,Distance!A:A,1,FALSE)</f>
        <v>#N/A</v>
      </c>
      <c r="D135" t="e">
        <f>VLOOKUP(A135,Sector!A:A,1,FALSE)</f>
        <v>#N/A</v>
      </c>
    </row>
    <row r="136" spans="1:4" x14ac:dyDescent="0.3">
      <c r="A136" t="s">
        <v>135</v>
      </c>
      <c r="B136" t="e">
        <f>VLOOKUP(A136,Building!A:A,1,FALSE)</f>
        <v>#N/A</v>
      </c>
      <c r="C136" t="e">
        <f>VLOOKUP(A136,Distance!A:A,1,FALSE)</f>
        <v>#N/A</v>
      </c>
      <c r="D136" t="e">
        <f>VLOOKUP(A136,Sector!A:A,1,FALSE)</f>
        <v>#N/A</v>
      </c>
    </row>
    <row r="137" spans="1:4" x14ac:dyDescent="0.3">
      <c r="A137" t="s">
        <v>136</v>
      </c>
      <c r="B137" t="e">
        <f>VLOOKUP(A137,Building!A:A,1,FALSE)</f>
        <v>#N/A</v>
      </c>
      <c r="C137" t="e">
        <f>VLOOKUP(A137,Distance!A:A,1,FALSE)</f>
        <v>#N/A</v>
      </c>
      <c r="D137" t="e">
        <f>VLOOKUP(A137,Sector!A:A,1,FALSE)</f>
        <v>#N/A</v>
      </c>
    </row>
    <row r="138" spans="1:4" hidden="1" x14ac:dyDescent="0.3">
      <c r="A138" t="s">
        <v>137</v>
      </c>
      <c r="B138" t="str">
        <f>VLOOKUP(A138,Building!A:A,1,FALSE)</f>
        <v>WELLS LIBRARY</v>
      </c>
      <c r="C138" t="str">
        <f>VLOOKUP(A138,Distance!A:A,1,FALSE)</f>
        <v>WELLS LIBRARY</v>
      </c>
      <c r="D138" t="e">
        <f>VLOOKUP(A138,Sector!A:A,1,FALSE)</f>
        <v>#N/A</v>
      </c>
    </row>
    <row r="139" spans="1:4" x14ac:dyDescent="0.3">
      <c r="A139" t="s">
        <v>138</v>
      </c>
      <c r="B139" t="e">
        <f>VLOOKUP(A139,Building!A:A,1,FALSE)</f>
        <v>#N/A</v>
      </c>
      <c r="C139" t="e">
        <f>VLOOKUP(A139,Distance!A:A,1,FALSE)</f>
        <v>#N/A</v>
      </c>
      <c r="D139" t="e">
        <f>VLOOKUP(A139,Sector!A:A,1,FALSE)</f>
        <v>#N/A</v>
      </c>
    </row>
    <row r="140" spans="1:4" x14ac:dyDescent="0.3">
      <c r="A140" t="s">
        <v>139</v>
      </c>
      <c r="B140" t="e">
        <f>VLOOKUP(A140,Building!A:A,1,FALSE)</f>
        <v>#N/A</v>
      </c>
      <c r="C140" t="e">
        <f>VLOOKUP(A140,Distance!A:A,1,FALSE)</f>
        <v>#N/A</v>
      </c>
      <c r="D140" t="e">
        <f>VLOOKUP(A140,Sector!A:A,1,FALSE)</f>
        <v>#N/A</v>
      </c>
    </row>
    <row r="141" spans="1:4" hidden="1" x14ac:dyDescent="0.3">
      <c r="A141" t="s">
        <v>140</v>
      </c>
      <c r="B141" t="str">
        <f>VLOOKUP(A141,Building!A:A,1,FALSE)</f>
        <v>WILLKIE C</v>
      </c>
      <c r="C141" t="str">
        <f>VLOOKUP(A141,Distance!A:A,1,FALSE)</f>
        <v>WILLKIE C</v>
      </c>
      <c r="D141" t="str">
        <f>VLOOKUP(A141,Sector!A:A,1,FALSE)</f>
        <v>WILLKIE C</v>
      </c>
    </row>
    <row r="142" spans="1:4" hidden="1" x14ac:dyDescent="0.3">
      <c r="A142" t="s">
        <v>141</v>
      </c>
      <c r="B142" t="str">
        <f>VLOOKUP(A142,Building!A:A,1,FALSE)</f>
        <v>WRIGHT QUAD</v>
      </c>
      <c r="C142" t="str">
        <f>VLOOKUP(A142,Distance!A:A,1,FALSE)</f>
        <v>WRIGHT QUAD</v>
      </c>
      <c r="D142" t="str">
        <f>VLOOKUP(A142,Sector!A:A,1,FALSE)</f>
        <v>WRIGHT QUAD</v>
      </c>
    </row>
    <row r="143" spans="1:4" x14ac:dyDescent="0.3">
      <c r="A143" t="s">
        <v>142</v>
      </c>
      <c r="B143" t="e">
        <f>VLOOKUP(A143,Building!A:A,1,FALSE)</f>
        <v>#N/A</v>
      </c>
      <c r="C143" t="e">
        <f>VLOOKUP(A143,Distance!A:A,1,FALSE)</f>
        <v>#N/A</v>
      </c>
      <c r="D143" t="e">
        <f>VLOOKUP(A143,Sector!A:A,1,FALSE)</f>
        <v>#N/A</v>
      </c>
    </row>
    <row r="144" spans="1:4" x14ac:dyDescent="0.3">
      <c r="A144" t="s">
        <v>143</v>
      </c>
      <c r="B144" t="e">
        <f>VLOOKUP(A144,Building!A:A,1,FALSE)</f>
        <v>#N/A</v>
      </c>
      <c r="C144" t="e">
        <f>VLOOKUP(A144,Distance!A:A,1,FALSE)</f>
        <v>#N/A</v>
      </c>
      <c r="D144" t="e">
        <f>VLOOKUP(A144,Sector!A:A,1,FALSE)</f>
        <v>#N/A</v>
      </c>
    </row>
    <row r="145" spans="1:4" x14ac:dyDescent="0.3">
      <c r="A145" t="s">
        <v>144</v>
      </c>
      <c r="B145" t="e">
        <f>VLOOKUP(A145,Building!A:A,1,FALSE)</f>
        <v>#N/A</v>
      </c>
      <c r="C145" t="e">
        <f>VLOOKUP(A145,Distance!A:A,1,FALSE)</f>
        <v>#N/A</v>
      </c>
      <c r="D145" t="e">
        <f>VLOOKUP(A145,Sector!A:A,1,FALSE)</f>
        <v>#N/A</v>
      </c>
    </row>
    <row r="146" spans="1:4" x14ac:dyDescent="0.3">
      <c r="A146" t="s">
        <v>145</v>
      </c>
      <c r="B146" t="e">
        <f>VLOOKUP(A146,Building!A:A,1,FALSE)</f>
        <v>#N/A</v>
      </c>
      <c r="C146" t="e">
        <f>VLOOKUP(A146,Distance!A:A,1,FALSE)</f>
        <v>#N/A</v>
      </c>
      <c r="D146" t="e">
        <f>VLOOKUP(A146,Sector!A:A,1,FALSE)</f>
        <v>#N/A</v>
      </c>
    </row>
    <row r="147" spans="1:4" x14ac:dyDescent="0.3">
      <c r="A147" t="s">
        <v>146</v>
      </c>
      <c r="B147" t="e">
        <f>VLOOKUP(A147,Building!A:A,1,FALSE)</f>
        <v>#N/A</v>
      </c>
      <c r="C147" t="e">
        <f>VLOOKUP(A147,Distance!A:A,1,FALSE)</f>
        <v>#N/A</v>
      </c>
      <c r="D147" t="e">
        <f>VLOOKUP(A147,Sector!A:A,1,FALSE)</f>
        <v>#N/A</v>
      </c>
    </row>
    <row r="148" spans="1:4" hidden="1" x14ac:dyDescent="0.3">
      <c r="A148" t="s">
        <v>147</v>
      </c>
      <c r="B148" t="str">
        <f>VLOOKUP(A148,Building!A:A,1,FALSE)</f>
        <v>HARLOS HOUSE</v>
      </c>
      <c r="C148" t="str">
        <f>VLOOKUP(A148,Distance!A:A,1,FALSE)</f>
        <v>HARLOS HOUSE</v>
      </c>
      <c r="D148" t="str">
        <f>VLOOKUP(A148,Sector!A:A,1,FALSE)</f>
        <v>HARLOS HOUSE</v>
      </c>
    </row>
    <row r="149" spans="1:4" x14ac:dyDescent="0.3">
      <c r="A149" t="s">
        <v>148</v>
      </c>
      <c r="B149" t="e">
        <f>VLOOKUP(A149,Building!A:A,1,FALSE)</f>
        <v>#N/A</v>
      </c>
      <c r="C149" t="e">
        <f>VLOOKUP(A149,Distance!A:A,1,FALSE)</f>
        <v>#N/A</v>
      </c>
      <c r="D149" t="e">
        <f>VLOOKUP(A149,Sector!A:A,1,FALSE)</f>
        <v>#N/A</v>
      </c>
    </row>
    <row r="150" spans="1:4" x14ac:dyDescent="0.3">
      <c r="A150" t="s">
        <v>149</v>
      </c>
      <c r="B150" t="e">
        <f>VLOOKUP(A150,Building!A:A,1,FALSE)</f>
        <v>#N/A</v>
      </c>
      <c r="C150" t="e">
        <f>VLOOKUP(A150,Distance!A:A,1,FALSE)</f>
        <v>#N/A</v>
      </c>
      <c r="D150" t="e">
        <f>VLOOKUP(A150,Sector!A:A,1,FALSE)</f>
        <v>#N/A</v>
      </c>
    </row>
    <row r="151" spans="1:4" x14ac:dyDescent="0.3">
      <c r="A151" t="s">
        <v>150</v>
      </c>
      <c r="B151" t="e">
        <f>VLOOKUP(A151,Building!A:A,1,FALSE)</f>
        <v>#N/A</v>
      </c>
      <c r="C151" t="e">
        <f>VLOOKUP(A151,Distance!A:A,1,FALSE)</f>
        <v>#N/A</v>
      </c>
      <c r="D151" t="e">
        <f>VLOOKUP(A151,Sector!A:A,1,FALSE)</f>
        <v>#N/A</v>
      </c>
    </row>
    <row r="152" spans="1:4" x14ac:dyDescent="0.3">
      <c r="A152" t="s">
        <v>151</v>
      </c>
      <c r="B152" t="e">
        <f>VLOOKUP(A152,Building!A:A,1,FALSE)</f>
        <v>#N/A</v>
      </c>
      <c r="C152" t="e">
        <f>VLOOKUP(A152,Distance!A:A,1,FALSE)</f>
        <v>#N/A</v>
      </c>
      <c r="D152" t="e">
        <f>VLOOKUP(A152,Sector!A:A,1,FALSE)</f>
        <v>#N/A</v>
      </c>
    </row>
    <row r="153" spans="1:4" hidden="1" x14ac:dyDescent="0.3">
      <c r="A153" t="s">
        <v>152</v>
      </c>
      <c r="B153" t="str">
        <f>VLOOKUP(A153,Building!A:A,1,FALSE)</f>
        <v>LILLY LIBRARY</v>
      </c>
      <c r="C153" t="str">
        <f>VLOOKUP(A153,Distance!A:A,1,FALSE)</f>
        <v>LILLY LIBRARY</v>
      </c>
      <c r="D153" t="str">
        <f>VLOOKUP(A153,Sector!A:A,1,FALSE)</f>
        <v>LILLY LIBRARY</v>
      </c>
    </row>
    <row r="154" spans="1:4" x14ac:dyDescent="0.3">
      <c r="A154" t="s">
        <v>153</v>
      </c>
      <c r="B154" t="e">
        <f>VLOOKUP(A154,Building!A:A,1,FALSE)</f>
        <v>#N/A</v>
      </c>
      <c r="C154" t="e">
        <f>VLOOKUP(A154,Distance!A:A,1,FALSE)</f>
        <v>#N/A</v>
      </c>
      <c r="D154" t="e">
        <f>VLOOKUP(A154,Sector!A:A,1,FALSE)</f>
        <v>#N/A</v>
      </c>
    </row>
    <row r="155" spans="1:4" x14ac:dyDescent="0.3">
      <c r="A155" t="s">
        <v>154</v>
      </c>
      <c r="B155" t="e">
        <f>VLOOKUP(A155,Building!A:A,1,FALSE)</f>
        <v>#N/A</v>
      </c>
      <c r="C155" t="e">
        <f>VLOOKUP(A155,Distance!A:A,1,FALSE)</f>
        <v>#N/A</v>
      </c>
      <c r="D155" t="e">
        <f>VLOOKUP(A155,Sector!A:A,1,FALSE)</f>
        <v>#N/A</v>
      </c>
    </row>
    <row r="156" spans="1:4" x14ac:dyDescent="0.3">
      <c r="A156" t="s">
        <v>155</v>
      </c>
      <c r="B156" t="e">
        <f>VLOOKUP(A156,Building!A:A,1,FALSE)</f>
        <v>#N/A</v>
      </c>
      <c r="C156" t="e">
        <f>VLOOKUP(A156,Distance!A:A,1,FALSE)</f>
        <v>#N/A</v>
      </c>
      <c r="D156" t="e">
        <f>VLOOKUP(A156,Sector!A:A,1,FALSE)</f>
        <v>#N/A</v>
      </c>
    </row>
    <row r="157" spans="1:4" x14ac:dyDescent="0.3">
      <c r="A157" t="s">
        <v>156</v>
      </c>
      <c r="B157" t="e">
        <f>VLOOKUP(A157,Building!A:A,1,FALSE)</f>
        <v>#N/A</v>
      </c>
      <c r="C157" t="e">
        <f>VLOOKUP(A157,Distance!A:A,1,FALSE)</f>
        <v>#N/A</v>
      </c>
      <c r="D157" t="e">
        <f>VLOOKUP(A157,Sector!A:A,1,FALSE)</f>
        <v>#N/A</v>
      </c>
    </row>
    <row r="158" spans="1:4" hidden="1" x14ac:dyDescent="0.3">
      <c r="A158" t="s">
        <v>157</v>
      </c>
      <c r="B158" t="str">
        <f>VLOOKUP(A158,Building!A:A,1,FALSE)</f>
        <v>HILLCREST</v>
      </c>
      <c r="C158" t="str">
        <f>VLOOKUP(A158,Distance!A:A,1,FALSE)</f>
        <v>HILLCREST</v>
      </c>
      <c r="D158" t="str">
        <f>VLOOKUP(A158,Sector!A:A,1,FALSE)</f>
        <v>HILLCREST</v>
      </c>
    </row>
    <row r="159" spans="1:4" hidden="1" x14ac:dyDescent="0.3">
      <c r="A159" t="s">
        <v>158</v>
      </c>
      <c r="B159" t="str">
        <f>VLOOKUP(A159,Building!A:A,1,FALSE)</f>
        <v>MCCALLA</v>
      </c>
      <c r="C159" t="str">
        <f>VLOOKUP(A159,Distance!A:A,1,FALSE)</f>
        <v>MCCALLA</v>
      </c>
      <c r="D159" t="str">
        <f>VLOOKUP(A159,Sector!A:A,1,FALSE)</f>
        <v>MCCALLA</v>
      </c>
    </row>
    <row r="160" spans="1:4" x14ac:dyDescent="0.3">
      <c r="A160" t="s">
        <v>159</v>
      </c>
      <c r="B160" t="e">
        <f>VLOOKUP(A160,Building!A:A,1,FALSE)</f>
        <v>#N/A</v>
      </c>
      <c r="C160" t="e">
        <f>VLOOKUP(A160,Distance!A:A,1,FALSE)</f>
        <v>#N/A</v>
      </c>
      <c r="D160" t="e">
        <f>VLOOKUP(A160,Sector!A:A,1,FALSE)</f>
        <v>#N/A</v>
      </c>
    </row>
    <row r="161" spans="1:4" x14ac:dyDescent="0.3">
      <c r="A161" t="s">
        <v>160</v>
      </c>
      <c r="B161" t="e">
        <f>VLOOKUP(A161,Building!A:A,1,FALSE)</f>
        <v>#N/A</v>
      </c>
      <c r="C161" t="e">
        <f>VLOOKUP(A161,Distance!A:A,1,FALSE)</f>
        <v>#N/A</v>
      </c>
      <c r="D161" t="e">
        <f>VLOOKUP(A161,Sector!A:A,1,FALSE)</f>
        <v>#N/A</v>
      </c>
    </row>
    <row r="162" spans="1:4" hidden="1" x14ac:dyDescent="0.3">
      <c r="A162" t="s">
        <v>161</v>
      </c>
      <c r="B162" t="str">
        <f>VLOOKUP(A162,Building!A:A,1,FALSE)</f>
        <v>701 E 8TH ST</v>
      </c>
      <c r="C162" t="str">
        <f>VLOOKUP(A162,Distance!A:A,1,FALSE)</f>
        <v>701 E 8TH ST</v>
      </c>
      <c r="D162" t="e">
        <f>VLOOKUP(A162,Sector!A:A,1,FALSE)</f>
        <v>#N/A</v>
      </c>
    </row>
    <row r="163" spans="1:4" hidden="1" x14ac:dyDescent="0.3">
      <c r="A163" t="s">
        <v>162</v>
      </c>
      <c r="B163" t="str">
        <f>VLOOKUP(A163,Building!A:A,1,FALSE)</f>
        <v>GLADSTEIN FIELDHOUSE</v>
      </c>
      <c r="C163" t="str">
        <f>VLOOKUP(A163,Distance!A:A,1,FALSE)</f>
        <v>GLADSTEIN FIELDHOUSE</v>
      </c>
      <c r="D163" t="str">
        <f>VLOOKUP(A163,Sector!A:A,1,FALSE)</f>
        <v>GLADSTEIN FIELDHOUSE</v>
      </c>
    </row>
    <row r="164" spans="1:4" x14ac:dyDescent="0.3">
      <c r="A164" t="s">
        <v>163</v>
      </c>
      <c r="B164" t="e">
        <f>VLOOKUP(A164,Building!A:A,1,FALSE)</f>
        <v>#N/A</v>
      </c>
      <c r="C164" t="e">
        <f>VLOOKUP(A164,Distance!A:A,1,FALSE)</f>
        <v>#N/A</v>
      </c>
      <c r="D164" t="e">
        <f>VLOOKUP(A164,Sector!A:A,1,FALSE)</f>
        <v>#N/A</v>
      </c>
    </row>
    <row r="165" spans="1:4" hidden="1" x14ac:dyDescent="0.3">
      <c r="A165" t="s">
        <v>164</v>
      </c>
      <c r="B165" t="str">
        <f>VLOOKUP(A165,Building!A:A,1,FALSE)</f>
        <v>IN MEMORIAL UNION</v>
      </c>
      <c r="C165" t="str">
        <f>VLOOKUP(A165,Distance!A:A,1,FALSE)</f>
        <v>IN MEMORIAL UNION</v>
      </c>
      <c r="D165" t="str">
        <f>VLOOKUP(A165,Sector!A:A,1,FALSE)</f>
        <v>IN MEMORIAL UNION</v>
      </c>
    </row>
    <row r="166" spans="1:4" x14ac:dyDescent="0.3">
      <c r="A166" t="s">
        <v>165</v>
      </c>
      <c r="B166" t="e">
        <f>VLOOKUP(A166,Building!A:A,1,FALSE)</f>
        <v>#N/A</v>
      </c>
      <c r="C166" t="e">
        <f>VLOOKUP(A166,Distance!A:A,1,FALSE)</f>
        <v>#N/A</v>
      </c>
      <c r="D166" t="e">
        <f>VLOOKUP(A166,Sector!A:A,1,FALSE)</f>
        <v>#N/A</v>
      </c>
    </row>
    <row r="167" spans="1:4" hidden="1" x14ac:dyDescent="0.3">
      <c r="A167" t="s">
        <v>166</v>
      </c>
      <c r="B167" t="str">
        <f>VLOOKUP(A167,Building!A:A,1,FALSE)</f>
        <v>SYCAMORE HALL</v>
      </c>
      <c r="C167" t="str">
        <f>VLOOKUP(A167,Distance!A:A,1,FALSE)</f>
        <v>SYCAMORE HALL</v>
      </c>
      <c r="D167" t="str">
        <f>VLOOKUP(A167,Sector!A:A,1,FALSE)</f>
        <v>SYCAMORE HALL</v>
      </c>
    </row>
    <row r="168" spans="1:4" x14ac:dyDescent="0.3">
      <c r="A168" t="s">
        <v>167</v>
      </c>
      <c r="B168" t="e">
        <f>VLOOKUP(A168,Building!A:A,1,FALSE)</f>
        <v>#N/A</v>
      </c>
      <c r="C168" t="e">
        <f>VLOOKUP(A168,Distance!A:A,1,FALSE)</f>
        <v>#N/A</v>
      </c>
      <c r="D168" t="e">
        <f>VLOOKUP(A168,Sector!A:A,1,FALSE)</f>
        <v>#N/A</v>
      </c>
    </row>
    <row r="169" spans="1:4" x14ac:dyDescent="0.3">
      <c r="A169" t="s">
        <v>168</v>
      </c>
      <c r="B169" t="e">
        <f>VLOOKUP(A169,Building!A:A,1,FALSE)</f>
        <v>#N/A</v>
      </c>
      <c r="C169" t="e">
        <f>VLOOKUP(A169,Distance!A:A,1,FALSE)</f>
        <v>#N/A</v>
      </c>
      <c r="D169" t="e">
        <f>VLOOKUP(A169,Sector!A:A,1,FALSE)</f>
        <v>#N/A</v>
      </c>
    </row>
    <row r="170" spans="1:4" x14ac:dyDescent="0.3">
      <c r="A170" t="s">
        <v>169</v>
      </c>
      <c r="B170" t="e">
        <f>VLOOKUP(A170,Building!A:A,1,FALSE)</f>
        <v>#N/A</v>
      </c>
      <c r="C170" t="e">
        <f>VLOOKUP(A170,Distance!A:A,1,FALSE)</f>
        <v>#N/A</v>
      </c>
      <c r="D170" t="e">
        <f>VLOOKUP(A170,Sector!A:A,1,FALSE)</f>
        <v>#N/A</v>
      </c>
    </row>
    <row r="171" spans="1:4" hidden="1" x14ac:dyDescent="0.3">
      <c r="A171" t="s">
        <v>170</v>
      </c>
      <c r="B171" t="str">
        <f>VLOOKUP(A171,Building!A:A,1,FALSE)</f>
        <v>MARTIN HALL</v>
      </c>
      <c r="C171" t="str">
        <f>VLOOKUP(A171,Distance!A:A,1,FALSE)</f>
        <v>MARTIN HALL</v>
      </c>
      <c r="D171" t="str">
        <f>VLOOKUP(A171,Sector!A:A,1,FALSE)</f>
        <v>MARTIN HALL</v>
      </c>
    </row>
    <row r="172" spans="1:4" hidden="1" x14ac:dyDescent="0.3">
      <c r="A172" t="s">
        <v>171</v>
      </c>
      <c r="B172" t="str">
        <f>VLOOKUP(A172,Building!A:A,1,FALSE)</f>
        <v>MULTI SCIENCE 2</v>
      </c>
      <c r="C172" t="str">
        <f>VLOOKUP(A172,Distance!A:A,1,FALSE)</f>
        <v>MULTI SCIENCE 2</v>
      </c>
      <c r="D172" t="str">
        <f>VLOOKUP(A172,Sector!A:A,1,FALSE)</f>
        <v>MULTI SCIENCE 2</v>
      </c>
    </row>
    <row r="173" spans="1:4" x14ac:dyDescent="0.3">
      <c r="A173" t="s">
        <v>172</v>
      </c>
      <c r="B173" t="e">
        <f>VLOOKUP(A173,Building!A:A,1,FALSE)</f>
        <v>#N/A</v>
      </c>
      <c r="C173" t="e">
        <f>VLOOKUP(A173,Distance!A:A,1,FALSE)</f>
        <v>#N/A</v>
      </c>
      <c r="D173" t="e">
        <f>VLOOKUP(A173,Sector!A:A,1,FALSE)</f>
        <v>#N/A</v>
      </c>
    </row>
    <row r="174" spans="1:4" x14ac:dyDescent="0.3">
      <c r="A174" t="s">
        <v>173</v>
      </c>
      <c r="B174" t="e">
        <f>VLOOKUP(A174,Building!A:A,1,FALSE)</f>
        <v>#N/A</v>
      </c>
      <c r="C174" t="e">
        <f>VLOOKUP(A174,Distance!A:A,1,FALSE)</f>
        <v>#N/A</v>
      </c>
      <c r="D174" t="e">
        <f>VLOOKUP(A174,Sector!A:A,1,FALSE)</f>
        <v>#N/A</v>
      </c>
    </row>
    <row r="175" spans="1:4" x14ac:dyDescent="0.3">
      <c r="A175" t="s">
        <v>174</v>
      </c>
      <c r="B175" t="e">
        <f>VLOOKUP(A175,Building!A:A,1,FALSE)</f>
        <v>#N/A</v>
      </c>
      <c r="C175" t="e">
        <f>VLOOKUP(A175,Distance!A:A,1,FALSE)</f>
        <v>#N/A</v>
      </c>
      <c r="D175" t="e">
        <f>VLOOKUP(A175,Sector!A:A,1,FALSE)</f>
        <v>#N/A</v>
      </c>
    </row>
    <row r="176" spans="1:4" x14ac:dyDescent="0.3">
      <c r="A176" t="s">
        <v>175</v>
      </c>
      <c r="B176" t="e">
        <f>VLOOKUP(A176,Building!A:A,1,FALSE)</f>
        <v>#N/A</v>
      </c>
      <c r="C176" t="e">
        <f>VLOOKUP(A176,Distance!A:A,1,FALSE)</f>
        <v>#N/A</v>
      </c>
      <c r="D176" t="e">
        <f>VLOOKUP(A176,Sector!A:A,1,FALSE)</f>
        <v>#N/A</v>
      </c>
    </row>
    <row r="177" spans="1:4" x14ac:dyDescent="0.3">
      <c r="A177" t="s">
        <v>176</v>
      </c>
      <c r="B177" t="e">
        <f>VLOOKUP(A177,Building!A:A,1,FALSE)</f>
        <v>#N/A</v>
      </c>
      <c r="C177" t="e">
        <f>VLOOKUP(A177,Distance!A:A,1,FALSE)</f>
        <v>#N/A</v>
      </c>
      <c r="D177" t="e">
        <f>VLOOKUP(A177,Sector!A:A,1,FALSE)</f>
        <v>#N/A</v>
      </c>
    </row>
    <row r="178" spans="1:4" hidden="1" x14ac:dyDescent="0.3">
      <c r="A178" t="s">
        <v>177</v>
      </c>
      <c r="B178" t="str">
        <f>VLOOKUP(A178,Building!A:A,1,FALSE)</f>
        <v>EIGENMANN HALL</v>
      </c>
      <c r="C178" t="str">
        <f>VLOOKUP(A178,Distance!A:A,1,FALSE)</f>
        <v>EIGENMANN HALL</v>
      </c>
      <c r="D178" t="str">
        <f>VLOOKUP(A178,Sector!A:A,1,FALSE)</f>
        <v>EIGENMANN HALL</v>
      </c>
    </row>
    <row r="179" spans="1:4" hidden="1" x14ac:dyDescent="0.3">
      <c r="A179" t="s">
        <v>178</v>
      </c>
      <c r="B179" t="str">
        <f>VLOOKUP(A179,Building!A:A,1,FALSE)</f>
        <v>814 E 3RD ST</v>
      </c>
      <c r="C179" t="str">
        <f>VLOOKUP(A179,Distance!A:A,1,FALSE)</f>
        <v>814 E 3RD ST</v>
      </c>
      <c r="D179" t="str">
        <f>VLOOKUP(A179,Sector!A:A,1,FALSE)</f>
        <v>814 E 3RD ST</v>
      </c>
    </row>
    <row r="180" spans="1:4" x14ac:dyDescent="0.3">
      <c r="A180" t="s">
        <v>179</v>
      </c>
      <c r="B180" t="e">
        <f>VLOOKUP(A180,Building!A:A,1,FALSE)</f>
        <v>#N/A</v>
      </c>
      <c r="C180" t="e">
        <f>VLOOKUP(A180,Distance!A:A,1,FALSE)</f>
        <v>#N/A</v>
      </c>
      <c r="D180" t="e">
        <f>VLOOKUP(A180,Sector!A:A,1,FALSE)</f>
        <v>#N/A</v>
      </c>
    </row>
    <row r="181" spans="1:4" hidden="1" x14ac:dyDescent="0.3">
      <c r="A181" t="s">
        <v>180</v>
      </c>
      <c r="B181" t="str">
        <f>VLOOKUP(A181,Building!A:A,1,FALSE)</f>
        <v>IU CINEMA</v>
      </c>
      <c r="C181" t="str">
        <f>VLOOKUP(A181,Distance!A:A,1,FALSE)</f>
        <v>IU CINEMA</v>
      </c>
      <c r="D181" t="str">
        <f>VLOOKUP(A181,Sector!A:A,1,FALSE)</f>
        <v>IU CINEMA</v>
      </c>
    </row>
    <row r="182" spans="1:4" x14ac:dyDescent="0.3">
      <c r="A182" t="s">
        <v>181</v>
      </c>
      <c r="B182" t="e">
        <f>VLOOKUP(A182,Building!A:A,1,FALSE)</f>
        <v>#N/A</v>
      </c>
      <c r="C182" t="e">
        <f>VLOOKUP(A182,Distance!A:A,1,FALSE)</f>
        <v>#N/A</v>
      </c>
      <c r="D182" t="e">
        <f>VLOOKUP(A182,Sector!A:A,1,FALSE)</f>
        <v>#N/A</v>
      </c>
    </row>
    <row r="183" spans="1:4" x14ac:dyDescent="0.3">
      <c r="A183" t="s">
        <v>182</v>
      </c>
      <c r="B183" t="e">
        <f>VLOOKUP(A183,Building!A:A,1,FALSE)</f>
        <v>#N/A</v>
      </c>
      <c r="C183" t="e">
        <f>VLOOKUP(A183,Distance!A:A,1,FALSE)</f>
        <v>#N/A</v>
      </c>
      <c r="D183" t="e">
        <f>VLOOKUP(A183,Sector!A:A,1,FALSE)</f>
        <v>#N/A</v>
      </c>
    </row>
    <row r="184" spans="1:4" hidden="1" x14ac:dyDescent="0.3">
      <c r="A184" t="s">
        <v>183</v>
      </c>
      <c r="B184" t="str">
        <f>VLOOKUP(A184,Building!A:A,1,FALSE)</f>
        <v>MAXWELL HALL</v>
      </c>
      <c r="C184" t="str">
        <f>VLOOKUP(A184,Distance!A:A,1,FALSE)</f>
        <v>MAXWELL HALL</v>
      </c>
      <c r="D184" t="str">
        <f>VLOOKUP(A184,Sector!A:A,1,FALSE)</f>
        <v>MAXWELL HALL</v>
      </c>
    </row>
  </sheetData>
  <autoFilter ref="A1:D184" xr:uid="{3C9ACE0A-58D4-4B72-87DF-35BDD631D6FE}">
    <filterColumn colId="1">
      <filters>
        <filter val="#N/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ED682-EBAB-4479-BD67-434B87CFC307}">
  <sheetPr filterMode="1"/>
  <dimension ref="A1:E507"/>
  <sheetViews>
    <sheetView workbookViewId="0">
      <selection activeCell="B508" sqref="B508"/>
    </sheetView>
  </sheetViews>
  <sheetFormatPr defaultRowHeight="14.4" x14ac:dyDescent="0.3"/>
  <cols>
    <col min="1" max="1" width="48.21875" bestFit="1" customWidth="1"/>
    <col min="2" max="2" width="28.77734375" bestFit="1" customWidth="1"/>
    <col min="3" max="3" width="48.21875" bestFit="1" customWidth="1"/>
    <col min="4" max="4" width="43.77734375" bestFit="1" customWidth="1"/>
    <col min="5" max="5" width="18.6640625" bestFit="1" customWidth="1"/>
  </cols>
  <sheetData>
    <row r="1" spans="1:5" x14ac:dyDescent="0.3">
      <c r="A1" t="s">
        <v>184</v>
      </c>
      <c r="B1" t="s">
        <v>613</v>
      </c>
      <c r="C1" t="s">
        <v>611</v>
      </c>
      <c r="D1" t="s">
        <v>612</v>
      </c>
      <c r="E1" t="s">
        <v>629</v>
      </c>
    </row>
    <row r="2" spans="1:5" x14ac:dyDescent="0.3">
      <c r="A2" t="s">
        <v>185</v>
      </c>
      <c r="B2" t="e">
        <f>VLOOKUP(A2,Enrollment!A:A,1,FALSE)</f>
        <v>#N/A</v>
      </c>
      <c r="C2" t="str">
        <f>VLOOKUP(A2,Distance!A:A,1,FALSE)</f>
        <v>SITE</v>
      </c>
      <c r="D2" t="e">
        <f>VLOOKUP(A2,Sector!A:A,1,FALSE)</f>
        <v>#N/A</v>
      </c>
      <c r="E2" t="e">
        <f>VLOOKUP(A2,'new Sector'!A:A,1,0)</f>
        <v>#N/A</v>
      </c>
    </row>
    <row r="3" spans="1:5" hidden="1" x14ac:dyDescent="0.3">
      <c r="A3" t="s">
        <v>40</v>
      </c>
      <c r="B3" t="str">
        <f>VLOOKUP(A3,Enrollment!A:A,1,FALSE)</f>
        <v>LOWELL E. BAIER HALL</v>
      </c>
      <c r="C3" t="str">
        <f>VLOOKUP(A3,Distance!A:A,1,FALSE)</f>
        <v>LOWELL E. BAIER HALL</v>
      </c>
      <c r="D3" t="str">
        <f>VLOOKUP(A3,Sector!A:A,1,FALSE)</f>
        <v>LOWELL E. BAIER HALL</v>
      </c>
      <c r="E3" t="str">
        <f>VLOOKUP(A3,'new Sector'!A:A,1,0)</f>
        <v>LOWELL E. BAIER HALL</v>
      </c>
    </row>
    <row r="4" spans="1:5" hidden="1" x14ac:dyDescent="0.3">
      <c r="A4" t="s">
        <v>41</v>
      </c>
      <c r="B4" t="str">
        <f>VLOOKUP(A4,Enrollment!A:A,1,FALSE)</f>
        <v>4TH &amp; INDIANA-LEWIS BLDG</v>
      </c>
      <c r="C4" t="str">
        <f>VLOOKUP(A4,Distance!A:A,1,FALSE)</f>
        <v>4TH &amp; INDIANA-LEWIS BLDG</v>
      </c>
      <c r="D4" t="str">
        <f>VLOOKUP(A4,Sector!A:A,1,FALSE)</f>
        <v>4TH &amp; INDIANA-LEWIS BLDG</v>
      </c>
      <c r="E4" t="str">
        <f>VLOOKUP(A4,'new Sector'!A:A,1,0)</f>
        <v>4TH &amp; INDIANA-LEWIS BLDG</v>
      </c>
    </row>
    <row r="5" spans="1:5" hidden="1" x14ac:dyDescent="0.3">
      <c r="A5" t="s">
        <v>186</v>
      </c>
      <c r="B5" t="e">
        <f>VLOOKUP(A5,Enrollment!A:A,1,FALSE)</f>
        <v>#N/A</v>
      </c>
      <c r="C5" t="str">
        <f>VLOOKUP(A5,Distance!A:A,1,FALSE)</f>
        <v>502 E 4TH ST</v>
      </c>
      <c r="D5" t="str">
        <f>VLOOKUP(A5,Sector!A:A,1,FALSE)</f>
        <v>502 E 4TH ST</v>
      </c>
      <c r="E5" t="str">
        <f>VLOOKUP(A5,'new Sector'!A:A,1,0)</f>
        <v>502 E 4TH ST</v>
      </c>
    </row>
    <row r="6" spans="1:5" hidden="1" x14ac:dyDescent="0.3">
      <c r="A6" t="s">
        <v>187</v>
      </c>
      <c r="B6" t="e">
        <f>VLOOKUP(A6,Enrollment!A:A,1,FALSE)</f>
        <v>#N/A</v>
      </c>
      <c r="C6" t="str">
        <f>VLOOKUP(A6,Distance!A:A,1,FALSE)</f>
        <v>BRYAN HALL</v>
      </c>
      <c r="D6" t="str">
        <f>VLOOKUP(A6,Sector!A:A,1,FALSE)</f>
        <v>BRYAN HALL</v>
      </c>
      <c r="E6" t="str">
        <f>VLOOKUP(A6,'new Sector'!A:A,1,0)</f>
        <v>BRYAN HALL</v>
      </c>
    </row>
    <row r="7" spans="1:5" hidden="1" x14ac:dyDescent="0.3">
      <c r="A7" t="s">
        <v>188</v>
      </c>
      <c r="B7" t="e">
        <f>VLOOKUP(A7,Enrollment!A:A,1,FALSE)</f>
        <v>#N/A</v>
      </c>
      <c r="C7" t="str">
        <f>VLOOKUP(A7,Distance!A:A,1,FALSE)</f>
        <v>CARMICHAEL CENTER</v>
      </c>
      <c r="D7" t="str">
        <f>VLOOKUP(A7,Sector!A:A,1,FALSE)</f>
        <v>CARMICHAEL CENTER</v>
      </c>
      <c r="E7" t="str">
        <f>VLOOKUP(A7,'new Sector'!A:A,1,0)</f>
        <v>CARMICHAEL CENTER</v>
      </c>
    </row>
    <row r="8" spans="1:5" hidden="1" x14ac:dyDescent="0.3">
      <c r="A8" t="s">
        <v>189</v>
      </c>
      <c r="B8" t="e">
        <f>VLOOKUP(A8,Enrollment!A:A,1,FALSE)</f>
        <v>#N/A</v>
      </c>
      <c r="C8" t="str">
        <f>VLOOKUP(A8,Distance!A:A,1,FALSE)</f>
        <v>VON LEE</v>
      </c>
      <c r="D8" t="str">
        <f>VLOOKUP(A8,Sector!A:A,1,FALSE)</f>
        <v>VON LEE</v>
      </c>
      <c r="E8" t="str">
        <f>VLOOKUP(A8,'new Sector'!A:A,1,0)</f>
        <v>VON LEE</v>
      </c>
    </row>
    <row r="9" spans="1:5" hidden="1" x14ac:dyDescent="0.3">
      <c r="A9" t="s">
        <v>3</v>
      </c>
      <c r="B9" t="str">
        <f>VLOOKUP(A9,Enrollment!A:A,1,FALSE)</f>
        <v>FRANKLIN HALL</v>
      </c>
      <c r="C9" t="str">
        <f>VLOOKUP(A9,Distance!A:A,1,FALSE)</f>
        <v>FRANKLIN HALL</v>
      </c>
      <c r="D9" t="str">
        <f>VLOOKUP(A9,Sector!A:A,1,FALSE)</f>
        <v>FRANKLIN HALL</v>
      </c>
      <c r="E9" t="str">
        <f>VLOOKUP(A9,'new Sector'!A:A,1,0)</f>
        <v>FRANKLIN HALL</v>
      </c>
    </row>
    <row r="10" spans="1:5" hidden="1" x14ac:dyDescent="0.3">
      <c r="A10" t="s">
        <v>190</v>
      </c>
      <c r="B10" t="e">
        <f>VLOOKUP(A10,Enrollment!A:A,1,FALSE)</f>
        <v>#N/A</v>
      </c>
      <c r="C10" t="str">
        <f>VLOOKUP(A10,Distance!A:A,1,FALSE)</f>
        <v>POPLARS PARKING</v>
      </c>
      <c r="D10" t="str">
        <f>VLOOKUP(A10,Sector!A:A,1,FALSE)</f>
        <v>POPLARS PARKING</v>
      </c>
      <c r="E10" t="str">
        <f>VLOOKUP(A10,'new Sector'!A:A,1,0)</f>
        <v>POPLARS PARKING</v>
      </c>
    </row>
    <row r="11" spans="1:5" hidden="1" x14ac:dyDescent="0.3">
      <c r="A11" t="s">
        <v>191</v>
      </c>
      <c r="B11" t="e">
        <f>VLOOKUP(A11,Enrollment!A:A,1,FALSE)</f>
        <v>#N/A</v>
      </c>
      <c r="C11" t="str">
        <f>VLOOKUP(A11,Distance!A:A,1,FALSE)</f>
        <v>CTR REP GOVERNMENT</v>
      </c>
      <c r="D11" t="str">
        <f>VLOOKUP(A11,Sector!A:A,1,FALSE)</f>
        <v>CTR REP GOVERNMENT</v>
      </c>
      <c r="E11" t="str">
        <f>VLOOKUP(A11,'new Sector'!A:A,1,0)</f>
        <v>CTR REP GOVERNMENT</v>
      </c>
    </row>
    <row r="12" spans="1:5" hidden="1" x14ac:dyDescent="0.3">
      <c r="A12" t="s">
        <v>192</v>
      </c>
      <c r="B12" t="e">
        <f>VLOOKUP(A12,Enrollment!A:A,1,FALSE)</f>
        <v>#N/A</v>
      </c>
      <c r="C12" t="str">
        <f>VLOOKUP(A12,Distance!A:A,1,FALSE)</f>
        <v>214 N DUNN ST</v>
      </c>
      <c r="D12" t="str">
        <f>VLOOKUP(A12,Sector!A:A,1,FALSE)</f>
        <v>214 N DUNN ST</v>
      </c>
      <c r="E12" t="str">
        <f>VLOOKUP(A12,'new Sector'!A:A,1,0)</f>
        <v>214 N DUNN ST</v>
      </c>
    </row>
    <row r="13" spans="1:5" hidden="1" x14ac:dyDescent="0.3">
      <c r="A13" t="s">
        <v>193</v>
      </c>
      <c r="B13" t="e">
        <f>VLOOKUP(A13,Enrollment!A:A,1,FALSE)</f>
        <v>#N/A</v>
      </c>
      <c r="C13" t="str">
        <f>VLOOKUP(A13,Distance!A:A,1,FALSE)</f>
        <v>222 N DUNN ST</v>
      </c>
      <c r="D13" t="str">
        <f>VLOOKUP(A13,Sector!A:A,1,FALSE)</f>
        <v>222 N DUNN ST</v>
      </c>
      <c r="E13" t="str">
        <f>VLOOKUP(A13,'new Sector'!A:A,1,0)</f>
        <v>222 N DUNN ST</v>
      </c>
    </row>
    <row r="14" spans="1:5" hidden="1" x14ac:dyDescent="0.3">
      <c r="A14" t="s">
        <v>194</v>
      </c>
      <c r="B14" t="e">
        <f>VLOOKUP(A14,Enrollment!A:A,1,FALSE)</f>
        <v>#N/A</v>
      </c>
      <c r="C14" t="str">
        <f>VLOOKUP(A14,Distance!A:A,1,FALSE)</f>
        <v>215 N INDIANA AVE</v>
      </c>
      <c r="D14" t="str">
        <f>VLOOKUP(A14,Sector!A:A,1,FALSE)</f>
        <v>215 N INDIANA AVE</v>
      </c>
      <c r="E14" t="str">
        <f>VLOOKUP(A14,'new Sector'!A:A,1,0)</f>
        <v>215 N INDIANA AVE</v>
      </c>
    </row>
    <row r="15" spans="1:5" hidden="1" x14ac:dyDescent="0.3">
      <c r="A15" t="s">
        <v>195</v>
      </c>
      <c r="B15" t="e">
        <f>VLOOKUP(A15,Enrollment!A:A,1,FALSE)</f>
        <v>#N/A</v>
      </c>
      <c r="C15" t="str">
        <f>VLOOKUP(A15,Distance!A:A,1,FALSE)</f>
        <v>307-309 N INDIANA AVE</v>
      </c>
      <c r="D15" t="e">
        <f>VLOOKUP(A15,Sector!A:A,1,FALSE)</f>
        <v>#N/A</v>
      </c>
      <c r="E15" t="str">
        <f>VLOOKUP(A15,'new Sector'!A:A,1,0)</f>
        <v>307-309 N INDIANA AVE</v>
      </c>
    </row>
    <row r="16" spans="1:5" hidden="1" x14ac:dyDescent="0.3">
      <c r="A16" t="s">
        <v>196</v>
      </c>
      <c r="B16" t="e">
        <f>VLOOKUP(A16,Enrollment!A:A,1,FALSE)</f>
        <v>#N/A</v>
      </c>
      <c r="C16" t="str">
        <f>VLOOKUP(A16,Distance!A:A,1,FALSE)</f>
        <v>IU MUSEUM OF ARCHAEOLOGY &amp; ANTHROPOLOGY</v>
      </c>
      <c r="D16" t="str">
        <f>VLOOKUP(A16,Sector!A:A,1,FALSE)</f>
        <v>IU MUSEUM OF ARCHAEOLOGY &amp; ANTHROPOLOGY</v>
      </c>
      <c r="E16" t="str">
        <f>VLOOKUP(A16,'new Sector'!A:A,1,0)</f>
        <v>IU MUSEUM OF ARCHAEOLOGY &amp; ANTHROPOLOGY</v>
      </c>
    </row>
    <row r="17" spans="1:5" hidden="1" x14ac:dyDescent="0.3">
      <c r="A17" t="s">
        <v>197</v>
      </c>
      <c r="B17" t="e">
        <f>VLOOKUP(A17,Enrollment!A:A,1,FALSE)</f>
        <v>#N/A</v>
      </c>
      <c r="C17" t="str">
        <f>VLOOKUP(A17,Distance!A:A,1,FALSE)</f>
        <v>409 N INDIANA AVE</v>
      </c>
      <c r="D17" t="e">
        <f>VLOOKUP(A17,Sector!A:A,1,FALSE)</f>
        <v>#N/A</v>
      </c>
      <c r="E17" t="str">
        <f>VLOOKUP(A17,'new Sector'!A:A,1,0)</f>
        <v>409 N INDIANA AVE</v>
      </c>
    </row>
    <row r="18" spans="1:5" hidden="1" x14ac:dyDescent="0.3">
      <c r="A18" t="s">
        <v>198</v>
      </c>
      <c r="B18" t="e">
        <f>VLOOKUP(A18,Enrollment!A:A,1,FALSE)</f>
        <v>#N/A</v>
      </c>
      <c r="C18" t="str">
        <f>VLOOKUP(A18,Distance!A:A,1,FALSE)</f>
        <v>502 E 9TH ST</v>
      </c>
      <c r="D18" t="str">
        <f>VLOOKUP(A18,Sector!A:A,1,FALSE)</f>
        <v>502 E 9TH ST</v>
      </c>
      <c r="E18" t="str">
        <f>VLOOKUP(A18,'new Sector'!A:A,1,0)</f>
        <v>502 E 9TH ST</v>
      </c>
    </row>
    <row r="19" spans="1:5" hidden="1" x14ac:dyDescent="0.3">
      <c r="A19" t="s">
        <v>199</v>
      </c>
      <c r="B19" t="e">
        <f>VLOOKUP(A19,Enrollment!A:A,1,FALSE)</f>
        <v>#N/A</v>
      </c>
      <c r="C19" t="str">
        <f>VLOOKUP(A19,Distance!A:A,1,FALSE)</f>
        <v>419 N INDIANA AVE</v>
      </c>
      <c r="D19" t="str">
        <f>VLOOKUP(A19,Sector!A:A,1,FALSE)</f>
        <v>419 N INDIANA AVE</v>
      </c>
      <c r="E19" t="str">
        <f>VLOOKUP(A19,'new Sector'!A:A,1,0)</f>
        <v>419 N INDIANA AVE</v>
      </c>
    </row>
    <row r="20" spans="1:5" hidden="1" x14ac:dyDescent="0.3">
      <c r="A20" t="s">
        <v>200</v>
      </c>
      <c r="B20" t="e">
        <f>VLOOKUP(A20,Enrollment!A:A,1,FALSE)</f>
        <v>#N/A</v>
      </c>
      <c r="C20" t="str">
        <f>VLOOKUP(A20,Distance!A:A,1,FALSE)</f>
        <v>LGBTQ+ CULTURE CENTER</v>
      </c>
      <c r="D20" t="e">
        <f>VLOOKUP(A20,Sector!A:A,1,FALSE)</f>
        <v>#N/A</v>
      </c>
      <c r="E20" t="str">
        <f>VLOOKUP(A20,'new Sector'!A:A,1,0)</f>
        <v>LGBTQ+ CULTURE CENTER</v>
      </c>
    </row>
    <row r="21" spans="1:5" hidden="1" x14ac:dyDescent="0.3">
      <c r="A21" t="s">
        <v>201</v>
      </c>
      <c r="B21" t="e">
        <f>VLOOKUP(A21,Enrollment!A:A,1,FALSE)</f>
        <v>#N/A</v>
      </c>
      <c r="C21" t="str">
        <f>VLOOKUP(A21,Distance!A:A,1,FALSE)</f>
        <v>LATINO CULTURAL CENTER</v>
      </c>
      <c r="D21" t="e">
        <f>VLOOKUP(A21,Sector!A:A,1,FALSE)</f>
        <v>#N/A</v>
      </c>
      <c r="E21" t="str">
        <f>VLOOKUP(A21,'new Sector'!A:A,1,0)</f>
        <v>LATINO CULTURAL CENTER</v>
      </c>
    </row>
    <row r="22" spans="1:5" hidden="1" x14ac:dyDescent="0.3">
      <c r="A22" t="s">
        <v>161</v>
      </c>
      <c r="B22" t="str">
        <f>VLOOKUP(A22,Enrollment!A:A,1,FALSE)</f>
        <v>701 E 8TH ST</v>
      </c>
      <c r="C22" t="str">
        <f>VLOOKUP(A22,Distance!A:A,1,FALSE)</f>
        <v>701 E 8TH ST</v>
      </c>
      <c r="D22" t="e">
        <f>VLOOKUP(A22,Sector!A:A,1,FALSE)</f>
        <v>#N/A</v>
      </c>
      <c r="E22" t="str">
        <f>VLOOKUP(A22,'new Sector'!A:A,1,0)</f>
        <v>701 E 8TH ST</v>
      </c>
    </row>
    <row r="23" spans="1:5" hidden="1" x14ac:dyDescent="0.3">
      <c r="A23" t="s">
        <v>202</v>
      </c>
      <c r="B23" t="e">
        <f>VLOOKUP(A23,Enrollment!A:A,1,FALSE)</f>
        <v>#N/A</v>
      </c>
      <c r="C23" t="str">
        <f>VLOOKUP(A23,Distance!A:A,1,FALSE)</f>
        <v>406 N FESS AVE</v>
      </c>
      <c r="D23" t="str">
        <f>VLOOKUP(A23,Sector!A:A,1,FALSE)</f>
        <v>406 N FESS AVE</v>
      </c>
      <c r="E23" t="str">
        <f>VLOOKUP(A23,'new Sector'!A:A,1,0)</f>
        <v>406 N FESS AVE</v>
      </c>
    </row>
    <row r="24" spans="1:5" hidden="1" x14ac:dyDescent="0.3">
      <c r="A24" t="s">
        <v>203</v>
      </c>
      <c r="B24" t="e">
        <f>VLOOKUP(A24,Enrollment!A:A,1,FALSE)</f>
        <v>#N/A</v>
      </c>
      <c r="C24" t="str">
        <f>VLOOKUP(A24,Distance!A:A,1,FALSE)</f>
        <v>406 N FESS GARAGE</v>
      </c>
      <c r="D24" t="str">
        <f>VLOOKUP(A24,Sector!A:A,1,FALSE)</f>
        <v>406 N FESS GARAGE</v>
      </c>
      <c r="E24" t="str">
        <f>VLOOKUP(A24,'new Sector'!A:A,1,0)</f>
        <v>406 N FESS GARAGE</v>
      </c>
    </row>
    <row r="25" spans="1:5" hidden="1" x14ac:dyDescent="0.3">
      <c r="A25" t="s">
        <v>204</v>
      </c>
      <c r="B25" t="e">
        <f>VLOOKUP(A25,Enrollment!A:A,1,FALSE)</f>
        <v>#N/A</v>
      </c>
      <c r="C25" t="str">
        <f>VLOOKUP(A25,Distance!A:A,1,FALSE)</f>
        <v>AMERICAN INDIAN STUDIES</v>
      </c>
      <c r="D25" t="str">
        <f>VLOOKUP(A25,Sector!A:A,1,FALSE)</f>
        <v>AMERICAN INDIAN STUDIES</v>
      </c>
      <c r="E25" t="str">
        <f>VLOOKUP(A25,'new Sector'!A:A,1,0)</f>
        <v>AMERICAN INDIAN STUDIES</v>
      </c>
    </row>
    <row r="26" spans="1:5" hidden="1" x14ac:dyDescent="0.3">
      <c r="A26" t="s">
        <v>205</v>
      </c>
      <c r="B26" t="e">
        <f>VLOOKUP(A26,Enrollment!A:A,1,FALSE)</f>
        <v>#N/A</v>
      </c>
      <c r="C26" t="str">
        <f>VLOOKUP(A26,Distance!A:A,1,FALSE)</f>
        <v>521 N PARK AVE</v>
      </c>
      <c r="D26" t="e">
        <f>VLOOKUP(A26,Sector!A:A,1,FALSE)</f>
        <v>#N/A</v>
      </c>
      <c r="E26" t="str">
        <f>VLOOKUP(A26,'new Sector'!A:A,1,0)</f>
        <v>521 N PARK AVE</v>
      </c>
    </row>
    <row r="27" spans="1:5" hidden="1" x14ac:dyDescent="0.3">
      <c r="A27" t="s">
        <v>206</v>
      </c>
      <c r="B27" t="e">
        <f>VLOOKUP(A27,Enrollment!A:A,1,FALSE)</f>
        <v>#N/A</v>
      </c>
      <c r="C27" t="str">
        <f>VLOOKUP(A27,Distance!A:A,1,FALSE)</f>
        <v>615 E 11TH ST</v>
      </c>
      <c r="D27" t="e">
        <f>VLOOKUP(A27,Sector!A:A,1,FALSE)</f>
        <v>#N/A</v>
      </c>
      <c r="E27" t="str">
        <f>VLOOKUP(A27,'new Sector'!A:A,1,0)</f>
        <v>615 E 11TH ST</v>
      </c>
    </row>
    <row r="28" spans="1:5" hidden="1" x14ac:dyDescent="0.3">
      <c r="A28" t="s">
        <v>207</v>
      </c>
      <c r="B28" t="e">
        <f>VLOOKUP(A28,Enrollment!A:A,1,FALSE)</f>
        <v>#N/A</v>
      </c>
      <c r="C28" t="str">
        <f>VLOOKUP(A28,Distance!A:A,1,FALSE)</f>
        <v>620 E 11TH ST</v>
      </c>
      <c r="D28" t="e">
        <f>VLOOKUP(A28,Sector!A:A,1,FALSE)</f>
        <v>#N/A</v>
      </c>
      <c r="E28" t="str">
        <f>VLOOKUP(A28,'new Sector'!A:A,1,0)</f>
        <v>620 E 11TH ST</v>
      </c>
    </row>
    <row r="29" spans="1:5" hidden="1" x14ac:dyDescent="0.3">
      <c r="A29" t="s">
        <v>208</v>
      </c>
      <c r="B29" t="e">
        <f>VLOOKUP(A29,Enrollment!A:A,1,FALSE)</f>
        <v>#N/A</v>
      </c>
      <c r="C29" t="str">
        <f>VLOOKUP(A29,Distance!A:A,1,FALSE)</f>
        <v>621 E 11TH ST</v>
      </c>
      <c r="D29" t="e">
        <f>VLOOKUP(A29,Sector!A:A,1,FALSE)</f>
        <v>#N/A</v>
      </c>
      <c r="E29" t="str">
        <f>VLOOKUP(A29,'new Sector'!A:A,1,0)</f>
        <v>621 E 11TH ST</v>
      </c>
    </row>
    <row r="30" spans="1:5" hidden="1" x14ac:dyDescent="0.3">
      <c r="A30" t="s">
        <v>209</v>
      </c>
      <c r="B30" t="e">
        <f>VLOOKUP(A30,Enrollment!A:A,1,FALSE)</f>
        <v>#N/A</v>
      </c>
      <c r="C30" t="str">
        <f>VLOOKUP(A30,Distance!A:A,1,FALSE)</f>
        <v>722 N INDIANA AVE</v>
      </c>
      <c r="D30" t="str">
        <f>VLOOKUP(A30,Sector!A:A,1,FALSE)</f>
        <v>722 N INDIANA AVE</v>
      </c>
      <c r="E30" t="str">
        <f>VLOOKUP(A30,'new Sector'!A:A,1,0)</f>
        <v>722 N INDIANA AVE</v>
      </c>
    </row>
    <row r="31" spans="1:5" hidden="1" x14ac:dyDescent="0.3">
      <c r="A31" t="s">
        <v>210</v>
      </c>
      <c r="B31" t="e">
        <f>VLOOKUP(A31,Enrollment!A:A,1,FALSE)</f>
        <v>#N/A</v>
      </c>
      <c r="C31" t="str">
        <f>VLOOKUP(A31,Distance!A:A,1,FALSE)</f>
        <v>622 E 11TH ST</v>
      </c>
      <c r="D31" t="e">
        <f>VLOOKUP(A31,Sector!A:A,1,FALSE)</f>
        <v>#N/A</v>
      </c>
      <c r="E31" t="str">
        <f>VLOOKUP(A31,'new Sector'!A:A,1,0)</f>
        <v>622 E 11TH ST</v>
      </c>
    </row>
    <row r="32" spans="1:5" hidden="1" x14ac:dyDescent="0.3">
      <c r="A32" t="s">
        <v>211</v>
      </c>
      <c r="B32" t="e">
        <f>VLOOKUP(A32,Enrollment!A:A,1,FALSE)</f>
        <v>#N/A</v>
      </c>
      <c r="C32" t="str">
        <f>VLOOKUP(A32,Distance!A:A,1,FALSE)</f>
        <v>716 N INDIANA AVE</v>
      </c>
      <c r="D32" t="str">
        <f>VLOOKUP(A32,Sector!A:A,1,FALSE)</f>
        <v>716 N INDIANA AVE</v>
      </c>
      <c r="E32" t="str">
        <f>VLOOKUP(A32,'new Sector'!A:A,1,0)</f>
        <v>716 N INDIANA AVE</v>
      </c>
    </row>
    <row r="33" spans="1:5" hidden="1" x14ac:dyDescent="0.3">
      <c r="A33" t="s">
        <v>212</v>
      </c>
      <c r="B33" t="e">
        <f>VLOOKUP(A33,Enrollment!A:A,1,FALSE)</f>
        <v>#N/A</v>
      </c>
      <c r="C33" t="str">
        <f>VLOOKUP(A33,Distance!A:A,1,FALSE)</f>
        <v>718 N INDIANA AVE</v>
      </c>
      <c r="D33" t="str">
        <f>VLOOKUP(A33,Sector!A:A,1,FALSE)</f>
        <v>718 N INDIANA AVE</v>
      </c>
      <c r="E33" t="str">
        <f>VLOOKUP(A33,'new Sector'!A:A,1,0)</f>
        <v>718 N INDIANA AVE</v>
      </c>
    </row>
    <row r="34" spans="1:5" hidden="1" x14ac:dyDescent="0.3">
      <c r="A34" t="s">
        <v>213</v>
      </c>
      <c r="B34" t="e">
        <f>VLOOKUP(A34,Enrollment!A:A,1,FALSE)</f>
        <v>#N/A</v>
      </c>
      <c r="C34" t="str">
        <f>VLOOKUP(A34,Distance!A:A,1,FALSE)</f>
        <v>800 N INDIANA AVE</v>
      </c>
      <c r="D34" t="str">
        <f>VLOOKUP(A34,Sector!A:A,1,FALSE)</f>
        <v>800 N INDIANA AVE</v>
      </c>
      <c r="E34" t="str">
        <f>VLOOKUP(A34,'new Sector'!A:A,1,0)</f>
        <v>800 N INDIANA AVE</v>
      </c>
    </row>
    <row r="35" spans="1:5" hidden="1" x14ac:dyDescent="0.3">
      <c r="A35" t="s">
        <v>214</v>
      </c>
      <c r="B35" t="e">
        <f>VLOOKUP(A35,Enrollment!A:A,1,FALSE)</f>
        <v>#N/A</v>
      </c>
      <c r="C35" t="str">
        <f>VLOOKUP(A35,Distance!A:A,1,FALSE)</f>
        <v>STUDENT BUILDING (FRANCES MORGAN SWAIN)</v>
      </c>
      <c r="D35" t="str">
        <f>VLOOKUP(A35,Sector!A:A,1,FALSE)</f>
        <v>STUDENT BUILDING (FRANCES MORGAN SWAIN)</v>
      </c>
      <c r="E35" t="str">
        <f>VLOOKUP(A35,'new Sector'!A:A,1,0)</f>
        <v>STUDENT BUILDING (FRANCES MORGAN SWAIN)</v>
      </c>
    </row>
    <row r="36" spans="1:5" hidden="1" x14ac:dyDescent="0.3">
      <c r="A36" t="s">
        <v>215</v>
      </c>
      <c r="B36" t="e">
        <f>VLOOKUP(A36,Enrollment!A:A,1,FALSE)</f>
        <v>#N/A</v>
      </c>
      <c r="C36" t="str">
        <f>VLOOKUP(A36,Distance!A:A,1,FALSE)</f>
        <v>KIRKWOOD OBSERVATORY</v>
      </c>
      <c r="D36" t="str">
        <f>VLOOKUP(A36,Sector!A:A,1,FALSE)</f>
        <v>KIRKWOOD OBSERVATORY</v>
      </c>
      <c r="E36" t="str">
        <f>VLOOKUP(A36,'new Sector'!A:A,1,0)</f>
        <v>KIRKWOOD OBSERVATORY</v>
      </c>
    </row>
    <row r="37" spans="1:5" hidden="1" x14ac:dyDescent="0.3">
      <c r="A37" t="s">
        <v>216</v>
      </c>
      <c r="B37" t="e">
        <f>VLOOKUP(A37,Enrollment!A:A,1,FALSE)</f>
        <v>#N/A</v>
      </c>
      <c r="C37" t="str">
        <f>VLOOKUP(A37,Distance!A:A,1,FALSE)</f>
        <v>314 DUNN ST</v>
      </c>
      <c r="D37" t="e">
        <f>VLOOKUP(A37,Sector!A:A,1,FALSE)</f>
        <v>#N/A</v>
      </c>
      <c r="E37" t="str">
        <f>VLOOKUP(A37,'new Sector'!A:A,1,0)</f>
        <v>314 DUNN ST</v>
      </c>
    </row>
    <row r="38" spans="1:5" hidden="1" x14ac:dyDescent="0.3">
      <c r="A38" t="s">
        <v>217</v>
      </c>
      <c r="B38" t="e">
        <f>VLOOKUP(A38,Enrollment!A:A,1,FALSE)</f>
        <v>#N/A</v>
      </c>
      <c r="C38" t="str">
        <f>VLOOKUP(A38,Distance!A:A,1,FALSE)</f>
        <v>507-509 E 7TH ST</v>
      </c>
      <c r="D38" t="e">
        <f>VLOOKUP(A38,Sector!A:A,1,FALSE)</f>
        <v>#N/A</v>
      </c>
      <c r="E38" t="str">
        <f>VLOOKUP(A38,'new Sector'!A:A,1,0)</f>
        <v>507-509 E 7TH ST</v>
      </c>
    </row>
    <row r="39" spans="1:5" hidden="1" x14ac:dyDescent="0.3">
      <c r="A39" t="s">
        <v>218</v>
      </c>
      <c r="B39" t="e">
        <f>VLOOKUP(A39,Enrollment!A:A,1,FALSE)</f>
        <v>#N/A</v>
      </c>
      <c r="C39" t="str">
        <f>VLOOKUP(A39,Distance!A:A,1,FALSE)</f>
        <v>518 E 7TH ST</v>
      </c>
      <c r="D39" t="str">
        <f>VLOOKUP(A39,Sector!A:A,1,FALSE)</f>
        <v>518 E 7TH ST</v>
      </c>
      <c r="E39" t="str">
        <f>VLOOKUP(A39,'new Sector'!A:A,1,0)</f>
        <v>518 E 7TH ST</v>
      </c>
    </row>
    <row r="40" spans="1:5" hidden="1" x14ac:dyDescent="0.3">
      <c r="A40" t="s">
        <v>219</v>
      </c>
      <c r="B40" t="e">
        <f>VLOOKUP(A40,Enrollment!A:A,1,FALSE)</f>
        <v>#N/A</v>
      </c>
      <c r="C40" t="str">
        <f>VLOOKUP(A40,Distance!A:A,1,FALSE)</f>
        <v>527 E 7TH ST</v>
      </c>
      <c r="D40" t="str">
        <f>VLOOKUP(A40,Sector!A:A,1,FALSE)</f>
        <v>527 E 7TH ST</v>
      </c>
      <c r="E40" t="str">
        <f>VLOOKUP(A40,'new Sector'!A:A,1,0)</f>
        <v>527 E 7TH ST</v>
      </c>
    </row>
    <row r="41" spans="1:5" hidden="1" x14ac:dyDescent="0.3">
      <c r="A41" t="s">
        <v>220</v>
      </c>
      <c r="B41" t="e">
        <f>VLOOKUP(A41,Enrollment!A:A,1,FALSE)</f>
        <v>#N/A</v>
      </c>
      <c r="C41" t="str">
        <f>VLOOKUP(A41,Distance!A:A,1,FALSE)</f>
        <v>528 E 7TH ST</v>
      </c>
      <c r="D41" t="str">
        <f>VLOOKUP(A41,Sector!A:A,1,FALSE)</f>
        <v>528 E 7TH ST</v>
      </c>
      <c r="E41" t="str">
        <f>VLOOKUP(A41,'new Sector'!A:A,1,0)</f>
        <v>528 E 7TH ST</v>
      </c>
    </row>
    <row r="42" spans="1:5" hidden="1" x14ac:dyDescent="0.3">
      <c r="A42" t="s">
        <v>221</v>
      </c>
      <c r="B42" t="e">
        <f>VLOOKUP(A42,Enrollment!A:A,1,FALSE)</f>
        <v>#N/A</v>
      </c>
      <c r="C42" t="str">
        <f>VLOOKUP(A42,Distance!A:A,1,FALSE)</f>
        <v>630 E 3RD ST</v>
      </c>
      <c r="D42" t="str">
        <f>VLOOKUP(A42,Sector!A:A,1,FALSE)</f>
        <v>630 E 3RD ST</v>
      </c>
      <c r="E42" t="str">
        <f>VLOOKUP(A42,'new Sector'!A:A,1,0)</f>
        <v>630 E 3RD ST</v>
      </c>
    </row>
    <row r="43" spans="1:5" hidden="1" x14ac:dyDescent="0.3">
      <c r="A43" t="s">
        <v>222</v>
      </c>
      <c r="B43" t="e">
        <f>VLOOKUP(A43,Enrollment!A:A,1,FALSE)</f>
        <v>#N/A</v>
      </c>
      <c r="C43" t="str">
        <f>VLOOKUP(A43,Distance!A:A,1,FALSE)</f>
        <v>618 E 3RD ST</v>
      </c>
      <c r="D43" t="str">
        <f>VLOOKUP(A43,Sector!A:A,1,FALSE)</f>
        <v>618 E 3RD ST</v>
      </c>
      <c r="E43" t="str">
        <f>VLOOKUP(A43,'new Sector'!A:A,1,0)</f>
        <v>618 E 3RD ST</v>
      </c>
    </row>
    <row r="44" spans="1:5" hidden="1" x14ac:dyDescent="0.3">
      <c r="A44" t="s">
        <v>223</v>
      </c>
      <c r="B44" t="e">
        <f>VLOOKUP(A44,Enrollment!A:A,1,FALSE)</f>
        <v>#N/A</v>
      </c>
      <c r="C44" t="str">
        <f>VLOOKUP(A44,Distance!A:A,1,FALSE)</f>
        <v>624 E 3RD ST</v>
      </c>
      <c r="D44" t="str">
        <f>VLOOKUP(A44,Sector!A:A,1,FALSE)</f>
        <v>624 E 3RD ST</v>
      </c>
      <c r="E44" t="str">
        <f>VLOOKUP(A44,'new Sector'!A:A,1,0)</f>
        <v>624 E 3RD ST</v>
      </c>
    </row>
    <row r="45" spans="1:5" hidden="1" x14ac:dyDescent="0.3">
      <c r="A45" t="s">
        <v>224</v>
      </c>
      <c r="B45" t="e">
        <f>VLOOKUP(A45,Enrollment!A:A,1,FALSE)</f>
        <v>#N/A</v>
      </c>
      <c r="C45" t="str">
        <f>VLOOKUP(A45,Distance!A:A,1,FALSE)</f>
        <v>324 S HENDERSON ST</v>
      </c>
      <c r="D45" t="str">
        <f>VLOOKUP(A45,Sector!A:A,1,FALSE)</f>
        <v>324 S HENDERSON ST</v>
      </c>
      <c r="E45" t="str">
        <f>VLOOKUP(A45,'new Sector'!A:A,1,0)</f>
        <v>324 S HENDERSON ST</v>
      </c>
    </row>
    <row r="46" spans="1:5" hidden="1" x14ac:dyDescent="0.3">
      <c r="A46" t="s">
        <v>225</v>
      </c>
      <c r="B46" t="e">
        <f>VLOOKUP(A46,Enrollment!A:A,1,FALSE)</f>
        <v>#N/A</v>
      </c>
      <c r="C46" t="str">
        <f>VLOOKUP(A46,Distance!A:A,1,FALSE)</f>
        <v>209 S DUNN ST</v>
      </c>
      <c r="D46" t="str">
        <f>VLOOKUP(A46,Sector!A:A,1,FALSE)</f>
        <v>209 S DUNN ST</v>
      </c>
      <c r="E46" t="str">
        <f>VLOOKUP(A46,'new Sector'!A:A,1,0)</f>
        <v>209 S DUNN ST</v>
      </c>
    </row>
    <row r="47" spans="1:5" hidden="1" x14ac:dyDescent="0.3">
      <c r="A47" t="s">
        <v>129</v>
      </c>
      <c r="B47" t="str">
        <f>VLOOKUP(A47,Enrollment!A:A,1,FALSE)</f>
        <v>SWAIN WEST</v>
      </c>
      <c r="C47" t="str">
        <f>VLOOKUP(A47,Distance!A:A,1,FALSE)</f>
        <v>SWAIN WEST</v>
      </c>
      <c r="D47" t="str">
        <f>VLOOKUP(A47,Sector!A:A,1,FALSE)</f>
        <v>SWAIN WEST</v>
      </c>
      <c r="E47" t="str">
        <f>VLOOKUP(A47,'new Sector'!A:A,1,0)</f>
        <v>SWAIN WEST</v>
      </c>
    </row>
    <row r="48" spans="1:5" hidden="1" x14ac:dyDescent="0.3">
      <c r="A48" t="s">
        <v>226</v>
      </c>
      <c r="B48" t="e">
        <f>VLOOKUP(A48,Enrollment!A:A,1,FALSE)</f>
        <v>#N/A</v>
      </c>
      <c r="C48" t="str">
        <f>VLOOKUP(A48,Distance!A:A,1,FALSE)</f>
        <v>514 E 3RD ST</v>
      </c>
      <c r="D48" t="e">
        <f>VLOOKUP(A48,Sector!A:A,1,FALSE)</f>
        <v>#N/A</v>
      </c>
      <c r="E48" t="str">
        <f>VLOOKUP(A48,'new Sector'!A:A,1,0)</f>
        <v>514 E 3RD ST</v>
      </c>
    </row>
    <row r="49" spans="1:5" hidden="1" x14ac:dyDescent="0.3">
      <c r="A49" t="s">
        <v>227</v>
      </c>
      <c r="B49" t="e">
        <f>VLOOKUP(A49,Enrollment!A:A,1,FALSE)</f>
        <v>#N/A</v>
      </c>
      <c r="C49" t="str">
        <f>VLOOKUP(A49,Distance!A:A,1,FALSE)</f>
        <v>509 E 3RD ST</v>
      </c>
      <c r="D49" t="str">
        <f>VLOOKUP(A49,Sector!A:A,1,FALSE)</f>
        <v>509 E 3RD ST</v>
      </c>
      <c r="E49" t="str">
        <f>VLOOKUP(A49,'new Sector'!A:A,1,0)</f>
        <v>509 E 3RD ST</v>
      </c>
    </row>
    <row r="50" spans="1:5" hidden="1" x14ac:dyDescent="0.3">
      <c r="A50" t="s">
        <v>228</v>
      </c>
      <c r="B50" t="e">
        <f>VLOOKUP(A50,Enrollment!A:A,1,FALSE)</f>
        <v>#N/A</v>
      </c>
      <c r="C50" t="str">
        <f>VLOOKUP(A50,Distance!A:A,1,FALSE)</f>
        <v>314 S HENDERSON ST</v>
      </c>
      <c r="D50" t="str">
        <f>VLOOKUP(A50,Sector!A:A,1,FALSE)</f>
        <v>314 S HENDERSON ST</v>
      </c>
      <c r="E50" t="str">
        <f>VLOOKUP(A50,'new Sector'!A:A,1,0)</f>
        <v>314 S HENDERSON ST</v>
      </c>
    </row>
    <row r="51" spans="1:5" hidden="1" x14ac:dyDescent="0.3">
      <c r="A51" t="s">
        <v>229</v>
      </c>
      <c r="B51" t="e">
        <f>VLOOKUP(A51,Enrollment!A:A,1,FALSE)</f>
        <v>#N/A</v>
      </c>
      <c r="C51" t="str">
        <f>VLOOKUP(A51,Distance!A:A,1,FALSE)</f>
        <v>508 E 3RD ST</v>
      </c>
      <c r="D51" t="str">
        <f>VLOOKUP(A51,Sector!A:A,1,FALSE)</f>
        <v>508 E 3RD ST</v>
      </c>
      <c r="E51" t="str">
        <f>VLOOKUP(A51,'new Sector'!A:A,1,0)</f>
        <v>508 E 3RD ST</v>
      </c>
    </row>
    <row r="52" spans="1:5" hidden="1" x14ac:dyDescent="0.3">
      <c r="A52" t="s">
        <v>230</v>
      </c>
      <c r="B52" t="e">
        <f>VLOOKUP(A52,Enrollment!A:A,1,FALSE)</f>
        <v>#N/A</v>
      </c>
      <c r="C52" t="str">
        <f>VLOOKUP(A52,Distance!A:A,1,FALSE)</f>
        <v>ROSE WELL HOUSE</v>
      </c>
      <c r="D52" t="str">
        <f>VLOOKUP(A52,Sector!A:A,1,FALSE)</f>
        <v>ROSE WELL HOUSE</v>
      </c>
      <c r="E52" t="str">
        <f>VLOOKUP(A52,'new Sector'!A:A,1,0)</f>
        <v>ROSE WELL HOUSE</v>
      </c>
    </row>
    <row r="53" spans="1:5" hidden="1" x14ac:dyDescent="0.3">
      <c r="A53" t="s">
        <v>183</v>
      </c>
      <c r="B53" t="str">
        <f>VLOOKUP(A53,Enrollment!A:A,1,FALSE)</f>
        <v>MAXWELL HALL</v>
      </c>
      <c r="C53" t="str">
        <f>VLOOKUP(A53,Distance!A:A,1,FALSE)</f>
        <v>MAXWELL HALL</v>
      </c>
      <c r="D53" t="str">
        <f>VLOOKUP(A53,Sector!A:A,1,FALSE)</f>
        <v>MAXWELL HALL</v>
      </c>
      <c r="E53" t="str">
        <f>VLOOKUP(A53,'new Sector'!A:A,1,0)</f>
        <v>MAXWELL HALL</v>
      </c>
    </row>
    <row r="54" spans="1:5" hidden="1" x14ac:dyDescent="0.3">
      <c r="A54" t="s">
        <v>231</v>
      </c>
      <c r="B54" t="e">
        <f>VLOOKUP(A54,Enrollment!A:A,1,FALSE)</f>
        <v>#N/A</v>
      </c>
      <c r="C54" t="str">
        <f>VLOOKUP(A54,Distance!A:A,1,FALSE)</f>
        <v>309-311 N PARK AVE</v>
      </c>
      <c r="D54" t="str">
        <f>VLOOKUP(A54,Sector!A:A,1,FALSE)</f>
        <v>309-311 N PARK AVE</v>
      </c>
      <c r="E54" t="str">
        <f>VLOOKUP(A54,'new Sector'!A:A,1,0)</f>
        <v>309-311 N PARK AVE</v>
      </c>
    </row>
    <row r="55" spans="1:5" hidden="1" x14ac:dyDescent="0.3">
      <c r="A55" t="s">
        <v>232</v>
      </c>
      <c r="B55" t="e">
        <f>VLOOKUP(A55,Enrollment!A:A,1,FALSE)</f>
        <v>#N/A</v>
      </c>
      <c r="C55" t="str">
        <f>VLOOKUP(A55,Distance!A:A,1,FALSE)</f>
        <v>712 E 8TH ST</v>
      </c>
      <c r="D55" t="str">
        <f>VLOOKUP(A55,Sector!A:A,1,FALSE)</f>
        <v>712 E 8TH ST</v>
      </c>
      <c r="E55" t="str">
        <f>VLOOKUP(A55,'new Sector'!A:A,1,0)</f>
        <v>712 E 8TH ST</v>
      </c>
    </row>
    <row r="56" spans="1:5" hidden="1" x14ac:dyDescent="0.3">
      <c r="A56" t="s">
        <v>233</v>
      </c>
      <c r="B56" t="e">
        <f>VLOOKUP(A56,Enrollment!A:A,1,FALSE)</f>
        <v>#N/A</v>
      </c>
      <c r="C56" t="str">
        <f>VLOOKUP(A56,Distance!A:A,1,FALSE)</f>
        <v>717 E 8TH ST</v>
      </c>
      <c r="D56" t="e">
        <f>VLOOKUP(A56,Sector!A:A,1,FALSE)</f>
        <v>#N/A</v>
      </c>
      <c r="E56" t="str">
        <f>VLOOKUP(A56,'new Sector'!A:A,1,0)</f>
        <v>717 E 8TH ST</v>
      </c>
    </row>
    <row r="57" spans="1:5" hidden="1" x14ac:dyDescent="0.3">
      <c r="A57" t="s">
        <v>234</v>
      </c>
      <c r="B57" t="e">
        <f>VLOOKUP(A57,Enrollment!A:A,1,FALSE)</f>
        <v>#N/A</v>
      </c>
      <c r="C57" t="str">
        <f>VLOOKUP(A57,Distance!A:A,1,FALSE)</f>
        <v>405-407 N PARK AVE</v>
      </c>
      <c r="D57" t="str">
        <f>VLOOKUP(A57,Sector!A:A,1,FALSE)</f>
        <v>405-407 N PARK AVE</v>
      </c>
      <c r="E57" t="str">
        <f>VLOOKUP(A57,'new Sector'!A:A,1,0)</f>
        <v>405-407 N PARK AVE</v>
      </c>
    </row>
    <row r="58" spans="1:5" hidden="1" x14ac:dyDescent="0.3">
      <c r="A58" t="s">
        <v>235</v>
      </c>
      <c r="B58" t="e">
        <f>VLOOKUP(A58,Enrollment!A:A,1,FALSE)</f>
        <v>#N/A</v>
      </c>
      <c r="C58" t="str">
        <f>VLOOKUP(A58,Distance!A:A,1,FALSE)</f>
        <v>409 N PARK AVE</v>
      </c>
      <c r="D58" t="str">
        <f>VLOOKUP(A58,Sector!A:A,1,FALSE)</f>
        <v>409 N PARK AVE</v>
      </c>
      <c r="E58" t="str">
        <f>VLOOKUP(A58,'new Sector'!A:A,1,0)</f>
        <v>409 N PARK AVE</v>
      </c>
    </row>
    <row r="59" spans="1:5" hidden="1" x14ac:dyDescent="0.3">
      <c r="A59" t="s">
        <v>236</v>
      </c>
      <c r="B59" t="e">
        <f>VLOOKUP(A59,Enrollment!A:A,1,FALSE)</f>
        <v>#N/A</v>
      </c>
      <c r="C59" t="str">
        <f>VLOOKUP(A59,Distance!A:A,1,FALSE)</f>
        <v>801 E 9TH ST</v>
      </c>
      <c r="D59" t="e">
        <f>VLOOKUP(A59,Sector!A:A,1,FALSE)</f>
        <v>#N/A</v>
      </c>
      <c r="E59" t="str">
        <f>VLOOKUP(A59,'new Sector'!A:A,1,0)</f>
        <v>801 E 9TH ST</v>
      </c>
    </row>
    <row r="60" spans="1:5" hidden="1" x14ac:dyDescent="0.3">
      <c r="A60" t="s">
        <v>237</v>
      </c>
      <c r="B60" t="e">
        <f>VLOOKUP(A60,Enrollment!A:A,1,FALSE)</f>
        <v>#N/A</v>
      </c>
      <c r="C60" t="str">
        <f>VLOOKUP(A60,Distance!A:A,1,FALSE)</f>
        <v>701 E 10TH ST</v>
      </c>
      <c r="D60" t="e">
        <f>VLOOKUP(A60,Sector!A:A,1,FALSE)</f>
        <v>#N/A</v>
      </c>
      <c r="E60" t="str">
        <f>VLOOKUP(A60,'new Sector'!A:A,1,0)</f>
        <v>701 E 10TH ST</v>
      </c>
    </row>
    <row r="61" spans="1:5" hidden="1" x14ac:dyDescent="0.3">
      <c r="A61" t="s">
        <v>238</v>
      </c>
      <c r="B61" t="e">
        <f>VLOOKUP(A61,Enrollment!A:A,1,FALSE)</f>
        <v>#N/A</v>
      </c>
      <c r="C61" t="str">
        <f>VLOOKUP(A61,Distance!A:A,1,FALSE)</f>
        <v>E-HOUSE</v>
      </c>
      <c r="D61" t="str">
        <f>VLOOKUP(A61,Sector!A:A,1,FALSE)</f>
        <v>E-HOUSE</v>
      </c>
      <c r="E61" t="str">
        <f>VLOOKUP(A61,'new Sector'!A:A,1,0)</f>
        <v>E-HOUSE</v>
      </c>
    </row>
    <row r="62" spans="1:5" hidden="1" x14ac:dyDescent="0.3">
      <c r="A62" t="s">
        <v>62</v>
      </c>
      <c r="B62" t="str">
        <f>VLOOKUP(A62,Enrollment!A:A,1,FALSE)</f>
        <v>EDMONDSON HALL</v>
      </c>
      <c r="C62" t="str">
        <f>VLOOKUP(A62,Distance!A:A,1,FALSE)</f>
        <v>EDMONDSON HALL</v>
      </c>
      <c r="D62" t="e">
        <f>VLOOKUP(A62,Sector!A:A,1,FALSE)</f>
        <v>#N/A</v>
      </c>
      <c r="E62" t="str">
        <f>VLOOKUP(A62,'new Sector'!A:A,1,0)</f>
        <v>EDMONDSON HALL</v>
      </c>
    </row>
    <row r="63" spans="1:5" hidden="1" x14ac:dyDescent="0.3">
      <c r="A63" t="s">
        <v>158</v>
      </c>
      <c r="B63" t="str">
        <f>VLOOKUP(A63,Enrollment!A:A,1,FALSE)</f>
        <v>MCCALLA</v>
      </c>
      <c r="C63" t="str">
        <f>VLOOKUP(A63,Distance!A:A,1,FALSE)</f>
        <v>MCCALLA</v>
      </c>
      <c r="D63" t="str">
        <f>VLOOKUP(A63,Sector!A:A,1,FALSE)</f>
        <v>MCCALLA</v>
      </c>
      <c r="E63" t="str">
        <f>VLOOKUP(A63,'new Sector'!A:A,1,0)</f>
        <v>MCCALLA</v>
      </c>
    </row>
    <row r="64" spans="1:5" hidden="1" x14ac:dyDescent="0.3">
      <c r="A64" t="s">
        <v>239</v>
      </c>
      <c r="B64" t="e">
        <f>VLOOKUP(A64,Enrollment!A:A,1,FALSE)</f>
        <v>#N/A</v>
      </c>
      <c r="C64" t="str">
        <f>VLOOKUP(A64,Distance!A:A,1,FALSE)</f>
        <v>611 N PARK AVE</v>
      </c>
      <c r="D64" t="e">
        <f>VLOOKUP(A64,Sector!A:A,1,FALSE)</f>
        <v>#N/A</v>
      </c>
      <c r="E64" t="str">
        <f>VLOOKUP(A64,'new Sector'!A:A,1,0)</f>
        <v>611 N PARK AVE</v>
      </c>
    </row>
    <row r="65" spans="1:5" hidden="1" x14ac:dyDescent="0.3">
      <c r="A65" t="s">
        <v>240</v>
      </c>
      <c r="B65" t="e">
        <f>VLOOKUP(A65,Enrollment!A:A,1,FALSE)</f>
        <v>#N/A</v>
      </c>
      <c r="C65" t="str">
        <f>VLOOKUP(A65,Distance!A:A,1,FALSE)</f>
        <v>501 N PARK AVE</v>
      </c>
      <c r="D65" t="str">
        <f>VLOOKUP(A65,Sector!A:A,1,FALSE)</f>
        <v>501 N PARK AVE</v>
      </c>
      <c r="E65" t="str">
        <f>VLOOKUP(A65,'new Sector'!A:A,1,0)</f>
        <v>501 N PARK AVE</v>
      </c>
    </row>
    <row r="66" spans="1:5" hidden="1" x14ac:dyDescent="0.3">
      <c r="A66" t="s">
        <v>241</v>
      </c>
      <c r="B66" t="e">
        <f>VLOOKUP(A66,Enrollment!A:A,1,FALSE)</f>
        <v>#N/A</v>
      </c>
      <c r="C66" t="str">
        <f>VLOOKUP(A66,Distance!A:A,1,FALSE)</f>
        <v>520 N INDIANA AVE</v>
      </c>
      <c r="D66" t="str">
        <f>VLOOKUP(A66,Sector!A:A,1,FALSE)</f>
        <v>520 N INDIANA AVE</v>
      </c>
      <c r="E66" t="str">
        <f>VLOOKUP(A66,'new Sector'!A:A,1,0)</f>
        <v>520 N INDIANA AVE</v>
      </c>
    </row>
    <row r="67" spans="1:5" hidden="1" x14ac:dyDescent="0.3">
      <c r="A67" t="s">
        <v>599</v>
      </c>
      <c r="B67" t="e">
        <f>VLOOKUP(A67,Enrollment!A:A,1,FALSE)</f>
        <v>#N/A</v>
      </c>
      <c r="C67" t="str">
        <f>VLOOKUP(A67,Distance!A:A,1,FALSE)</f>
        <v>513 N PARK AVE</v>
      </c>
      <c r="D67" t="str">
        <f>VLOOKUP(A67,Sector!A:A,1,FALSE)</f>
        <v>513 N PARK AVE</v>
      </c>
      <c r="E67" t="str">
        <f>VLOOKUP(A67,'new Sector'!A:A,1,0)</f>
        <v>513 N PARK AVE</v>
      </c>
    </row>
    <row r="68" spans="1:5" hidden="1" x14ac:dyDescent="0.3">
      <c r="A68" t="s">
        <v>242</v>
      </c>
      <c r="B68" t="e">
        <f>VLOOKUP(A68,Enrollment!A:A,1,FALSE)</f>
        <v>#N/A</v>
      </c>
      <c r="C68" t="str">
        <f>VLOOKUP(A68,Distance!A:A,1,FALSE)</f>
        <v>515 N PARK AVE</v>
      </c>
      <c r="D68" t="str">
        <f>VLOOKUP(A68,Sector!A:A,1,FALSE)</f>
        <v>515 N PARK AVE</v>
      </c>
      <c r="E68" t="str">
        <f>VLOOKUP(A68,'new Sector'!A:A,1,0)</f>
        <v>515 N PARK AVE</v>
      </c>
    </row>
    <row r="69" spans="1:5" hidden="1" x14ac:dyDescent="0.3">
      <c r="A69" t="s">
        <v>243</v>
      </c>
      <c r="B69" t="e">
        <f>VLOOKUP(A69,Enrollment!A:A,1,FALSE)</f>
        <v>#N/A</v>
      </c>
      <c r="C69" t="str">
        <f>VLOOKUP(A69,Distance!A:A,1,FALSE)</f>
        <v>417 N INDIANA AVE</v>
      </c>
      <c r="D69" t="str">
        <f>VLOOKUP(A69,Sector!A:A,1,FALSE)</f>
        <v>417 N INDIANA AVE</v>
      </c>
      <c r="E69" t="str">
        <f>VLOOKUP(A69,'new Sector'!A:A,1,0)</f>
        <v>417 N INDIANA AVE</v>
      </c>
    </row>
    <row r="70" spans="1:5" hidden="1" x14ac:dyDescent="0.3">
      <c r="A70" t="s">
        <v>244</v>
      </c>
      <c r="B70" t="e">
        <f>VLOOKUP(A70,Enrollment!A:A,1,FALSE)</f>
        <v>#N/A</v>
      </c>
      <c r="C70" t="str">
        <f>VLOOKUP(A70,Distance!A:A,1,FALSE)</f>
        <v>417 N INDIANA GARAGE</v>
      </c>
      <c r="D70" t="e">
        <f>VLOOKUP(A70,Sector!A:A,1,FALSE)</f>
        <v>#N/A</v>
      </c>
      <c r="E70" t="str">
        <f>VLOOKUP(A70,'new Sector'!A:A,1,0)</f>
        <v>417 N INDIANA GARAGE</v>
      </c>
    </row>
    <row r="71" spans="1:5" hidden="1" x14ac:dyDescent="0.3">
      <c r="A71" t="s">
        <v>245</v>
      </c>
      <c r="B71" t="e">
        <f>VLOOKUP(A71,Enrollment!A:A,1,FALSE)</f>
        <v>#N/A</v>
      </c>
      <c r="C71" t="str">
        <f>VLOOKUP(A71,Distance!A:A,1,FALSE)</f>
        <v>KNEE-HIGH DAYCARE</v>
      </c>
      <c r="D71" t="str">
        <f>VLOOKUP(A71,Sector!A:A,1,FALSE)</f>
        <v>KNEE-HIGH DAYCARE</v>
      </c>
      <c r="E71" t="str">
        <f>VLOOKUP(A71,'new Sector'!A:A,1,0)</f>
        <v>KNEE-HIGH DAYCARE</v>
      </c>
    </row>
    <row r="72" spans="1:5" hidden="1" x14ac:dyDescent="0.3">
      <c r="A72" t="s">
        <v>246</v>
      </c>
      <c r="B72" t="e">
        <f>VLOOKUP(A72,Enrollment!A:A,1,FALSE)</f>
        <v>#N/A</v>
      </c>
      <c r="C72" t="str">
        <f>VLOOKUP(A72,Distance!A:A,1,FALSE)</f>
        <v>516 N INDIANA AVE</v>
      </c>
      <c r="D72" t="str">
        <f>VLOOKUP(A72,Sector!A:A,1,FALSE)</f>
        <v>516 N INDIANA AVE</v>
      </c>
      <c r="E72" t="str">
        <f>VLOOKUP(A72,'new Sector'!A:A,1,0)</f>
        <v>516 N INDIANA AVE</v>
      </c>
    </row>
    <row r="73" spans="1:5" hidden="1" x14ac:dyDescent="0.3">
      <c r="A73" t="s">
        <v>247</v>
      </c>
      <c r="B73" t="e">
        <f>VLOOKUP(A73,Enrollment!A:A,1,FALSE)</f>
        <v>#N/A</v>
      </c>
      <c r="C73" t="str">
        <f>VLOOKUP(A73,Distance!A:A,1,FALSE)</f>
        <v>708 E 11TH ST</v>
      </c>
      <c r="D73" t="e">
        <f>VLOOKUP(A73,Sector!A:A,1,FALSE)</f>
        <v>#N/A</v>
      </c>
      <c r="E73" t="str">
        <f>VLOOKUP(A73,'new Sector'!A:A,1,0)</f>
        <v>708 E 11TH ST</v>
      </c>
    </row>
    <row r="74" spans="1:5" hidden="1" x14ac:dyDescent="0.3">
      <c r="A74" t="s">
        <v>248</v>
      </c>
      <c r="B74" t="e">
        <f>VLOOKUP(A74,Enrollment!A:A,1,FALSE)</f>
        <v>#N/A</v>
      </c>
      <c r="C74" t="str">
        <f>VLOOKUP(A74,Distance!A:A,1,FALSE)</f>
        <v>708 E 11TH ST GARAGE</v>
      </c>
      <c r="D74" t="e">
        <f>VLOOKUP(A74,Sector!A:A,1,FALSE)</f>
        <v>#N/A</v>
      </c>
      <c r="E74" t="str">
        <f>VLOOKUP(A74,'new Sector'!A:A,1,0)</f>
        <v>708 E 11TH ST GARAGE</v>
      </c>
    </row>
    <row r="75" spans="1:5" hidden="1" x14ac:dyDescent="0.3">
      <c r="A75" t="s">
        <v>614</v>
      </c>
      <c r="B75" t="e">
        <f>VLOOKUP(A75,Enrollment!A:A,1,FALSE)</f>
        <v>#N/A</v>
      </c>
      <c r="C75" t="str">
        <f>VLOOKUP(A75,Distance!A:A,1,FALSE)</f>
        <v>510-512 N FESS AVE</v>
      </c>
      <c r="D75" t="e">
        <f>VLOOKUP(A75,Sector!A:A,1,FALSE)</f>
        <v>#N/A</v>
      </c>
      <c r="E75" t="str">
        <f>VLOOKUP(A75,'new Sector'!A:A,1,0)</f>
        <v>510-512 N FESS AVE</v>
      </c>
    </row>
    <row r="76" spans="1:5" hidden="1" x14ac:dyDescent="0.3">
      <c r="A76" t="s">
        <v>249</v>
      </c>
      <c r="B76" t="e">
        <f>VLOOKUP(A76,Enrollment!A:A,1,FALSE)</f>
        <v>#N/A</v>
      </c>
      <c r="C76" t="str">
        <f>VLOOKUP(A76,Distance!A:A,1,FALSE)</f>
        <v>506-508 N FESS AVE</v>
      </c>
      <c r="D76" t="str">
        <f>VLOOKUP(A76,Sector!A:A,1,FALSE)</f>
        <v>506-508 N FESS AVE</v>
      </c>
      <c r="E76" t="str">
        <f>VLOOKUP(A76,'new Sector'!A:A,1,0)</f>
        <v>506-508 N FESS AVE</v>
      </c>
    </row>
    <row r="77" spans="1:5" hidden="1" x14ac:dyDescent="0.3">
      <c r="A77" t="s">
        <v>250</v>
      </c>
      <c r="B77" t="e">
        <f>VLOOKUP(A77,Enrollment!A:A,1,FALSE)</f>
        <v>#N/A</v>
      </c>
      <c r="C77" t="str">
        <f>VLOOKUP(A77,Distance!A:A,1,FALSE)</f>
        <v>509 N FESS AVE</v>
      </c>
      <c r="D77" t="e">
        <f>VLOOKUP(A77,Sector!A:A,1,FALSE)</f>
        <v>#N/A</v>
      </c>
      <c r="E77" t="str">
        <f>VLOOKUP(A77,'new Sector'!A:A,1,0)</f>
        <v>509 N FESS AVE</v>
      </c>
    </row>
    <row r="78" spans="1:5" hidden="1" x14ac:dyDescent="0.3">
      <c r="A78" t="s">
        <v>251</v>
      </c>
      <c r="B78" t="e">
        <f>VLOOKUP(A78,Enrollment!A:A,1,FALSE)</f>
        <v>#N/A</v>
      </c>
      <c r="C78" t="str">
        <f>VLOOKUP(A78,Distance!A:A,1,FALSE)</f>
        <v>509 N FESS GARAGE</v>
      </c>
      <c r="D78" t="e">
        <f>VLOOKUP(A78,Sector!A:A,1,FALSE)</f>
        <v>#N/A</v>
      </c>
      <c r="E78" t="str">
        <f>VLOOKUP(A78,'new Sector'!A:A,1,0)</f>
        <v>509 N FESS GARAGE</v>
      </c>
    </row>
    <row r="79" spans="1:5" hidden="1" x14ac:dyDescent="0.3">
      <c r="A79" t="s">
        <v>252</v>
      </c>
      <c r="B79" t="e">
        <f>VLOOKUP(A79,Enrollment!A:A,1,FALSE)</f>
        <v>#N/A</v>
      </c>
      <c r="C79" t="str">
        <f>VLOOKUP(A79,Distance!A:A,1,FALSE)</f>
        <v>504 N FESS AVE</v>
      </c>
      <c r="D79" t="e">
        <f>VLOOKUP(A79,Sector!A:A,1,FALSE)</f>
        <v>#N/A</v>
      </c>
      <c r="E79" t="str">
        <f>VLOOKUP(A79,'new Sector'!A:A,1,0)</f>
        <v>504 N FESS AVE</v>
      </c>
    </row>
    <row r="80" spans="1:5" hidden="1" x14ac:dyDescent="0.3">
      <c r="A80" t="s">
        <v>253</v>
      </c>
      <c r="B80" t="e">
        <f>VLOOKUP(A80,Enrollment!A:A,1,FALSE)</f>
        <v>#N/A</v>
      </c>
      <c r="C80" t="str">
        <f>VLOOKUP(A80,Distance!A:A,1,FALSE)</f>
        <v>520 N FESS AVE</v>
      </c>
      <c r="D80" t="e">
        <f>VLOOKUP(A80,Sector!A:A,1,FALSE)</f>
        <v>#N/A</v>
      </c>
      <c r="E80" t="str">
        <f>VLOOKUP(A80,'new Sector'!A:A,1,0)</f>
        <v>520 N FESS AVE</v>
      </c>
    </row>
    <row r="81" spans="1:5" hidden="1" x14ac:dyDescent="0.3">
      <c r="A81" t="s">
        <v>254</v>
      </c>
      <c r="B81" t="e">
        <f>VLOOKUP(A81,Enrollment!A:A,1,FALSE)</f>
        <v>#N/A</v>
      </c>
      <c r="C81" t="str">
        <f>VLOOKUP(A81,Distance!A:A,1,FALSE)</f>
        <v>SUNFLOWER DAYCARE</v>
      </c>
      <c r="D81" t="str">
        <f>VLOOKUP(A81,Sector!A:A,1,FALSE)</f>
        <v>SUNFLOWER DAYCARE</v>
      </c>
      <c r="E81" t="str">
        <f>VLOOKUP(A81,'new Sector'!A:A,1,0)</f>
        <v>SUNFLOWER DAYCARE</v>
      </c>
    </row>
    <row r="82" spans="1:5" hidden="1" x14ac:dyDescent="0.3">
      <c r="A82" t="s">
        <v>255</v>
      </c>
      <c r="B82" t="e">
        <f>VLOOKUP(A82,Enrollment!A:A,1,FALSE)</f>
        <v>#N/A</v>
      </c>
      <c r="C82" t="str">
        <f>VLOOKUP(A82,Distance!A:A,1,FALSE)</f>
        <v>505 N PARK AVE</v>
      </c>
      <c r="D82" t="e">
        <f>VLOOKUP(A82,Sector!A:A,1,FALSE)</f>
        <v>#N/A</v>
      </c>
      <c r="E82" t="str">
        <f>VLOOKUP(A82,'new Sector'!A:A,1,0)</f>
        <v>505 N PARK AVE</v>
      </c>
    </row>
    <row r="83" spans="1:5" hidden="1" x14ac:dyDescent="0.3">
      <c r="A83" t="s">
        <v>256</v>
      </c>
      <c r="B83" t="e">
        <f>VLOOKUP(A83,Enrollment!A:A,1,FALSE)</f>
        <v>#N/A</v>
      </c>
      <c r="C83" t="str">
        <f>VLOOKUP(A83,Distance!A:A,1,FALSE)</f>
        <v>710 E COTTAGE GROVE</v>
      </c>
      <c r="D83" t="str">
        <f>VLOOKUP(A83,Sector!A:A,1,FALSE)</f>
        <v>710 E COTTAGE GROVE</v>
      </c>
      <c r="E83" t="str">
        <f>VLOOKUP(A83,'new Sector'!A:A,1,0)</f>
        <v>710 E COTTAGE GROVE</v>
      </c>
    </row>
    <row r="84" spans="1:5" hidden="1" x14ac:dyDescent="0.3">
      <c r="A84" t="s">
        <v>257</v>
      </c>
      <c r="B84" t="e">
        <f>VLOOKUP(A84,Enrollment!A:A,1,FALSE)</f>
        <v>#N/A</v>
      </c>
      <c r="C84" t="str">
        <f>VLOOKUP(A84,Distance!A:A,1,FALSE)</f>
        <v>516 N FESS AVE</v>
      </c>
      <c r="D84" t="e">
        <f>VLOOKUP(A84,Sector!A:A,1,FALSE)</f>
        <v>#N/A</v>
      </c>
      <c r="E84" t="str">
        <f>VLOOKUP(A84,'new Sector'!A:A,1,0)</f>
        <v>516 N FESS AVE</v>
      </c>
    </row>
    <row r="85" spans="1:5" hidden="1" x14ac:dyDescent="0.3">
      <c r="A85" t="s">
        <v>258</v>
      </c>
      <c r="B85" t="e">
        <f>VLOOKUP(A85,Enrollment!A:A,1,FALSE)</f>
        <v>#N/A</v>
      </c>
      <c r="C85" t="str">
        <f>VLOOKUP(A85,Distance!A:A,1,FALSE)</f>
        <v>502 N INDIANA AVE</v>
      </c>
      <c r="D85" t="str">
        <f>VLOOKUP(A85,Sector!A:A,1,FALSE)</f>
        <v>502 N INDIANA AVE</v>
      </c>
      <c r="E85" t="str">
        <f>VLOOKUP(A85,'new Sector'!A:A,1,0)</f>
        <v>502 N INDIANA AVE</v>
      </c>
    </row>
    <row r="86" spans="1:5" hidden="1" x14ac:dyDescent="0.3">
      <c r="A86" t="s">
        <v>259</v>
      </c>
      <c r="B86" t="e">
        <f>VLOOKUP(A86,Enrollment!A:A,1,FALSE)</f>
        <v>#N/A</v>
      </c>
      <c r="C86" t="str">
        <f>VLOOKUP(A86,Distance!A:A,1,FALSE)</f>
        <v>519 N FESS</v>
      </c>
      <c r="D86" t="e">
        <f>VLOOKUP(A86,Sector!A:A,1,FALSE)</f>
        <v>#N/A</v>
      </c>
      <c r="E86" t="str">
        <f>VLOOKUP(A86,'new Sector'!A:A,1,0)</f>
        <v>519 N FESS</v>
      </c>
    </row>
    <row r="87" spans="1:5" hidden="1" x14ac:dyDescent="0.3">
      <c r="A87" t="s">
        <v>260</v>
      </c>
      <c r="B87" t="e">
        <f>VLOOKUP(A87,Enrollment!A:A,1,FALSE)</f>
        <v>#N/A</v>
      </c>
      <c r="C87" t="str">
        <f>VLOOKUP(A87,Distance!A:A,1,FALSE)</f>
        <v>506 N INDIANA AVE</v>
      </c>
      <c r="D87" t="str">
        <f>VLOOKUP(A87,Sector!A:A,1,FALSE)</f>
        <v>506 N INDIANA AVE</v>
      </c>
      <c r="E87" t="str">
        <f>VLOOKUP(A87,'new Sector'!A:A,1,0)</f>
        <v>506 N INDIANA AVE</v>
      </c>
    </row>
    <row r="88" spans="1:5" hidden="1" x14ac:dyDescent="0.3">
      <c r="A88" t="s">
        <v>261</v>
      </c>
      <c r="B88" t="e">
        <f>VLOOKUP(A88,Enrollment!A:A,1,FALSE)</f>
        <v>#N/A</v>
      </c>
      <c r="C88" t="str">
        <f>VLOOKUP(A88,Distance!A:A,1,FALSE)</f>
        <v>528 N INDIANA AVE</v>
      </c>
      <c r="D88" t="str">
        <f>VLOOKUP(A88,Sector!A:A,1,FALSE)</f>
        <v>528 N INDIANA AVE</v>
      </c>
      <c r="E88" t="str">
        <f>VLOOKUP(A88,'new Sector'!A:A,1,0)</f>
        <v>528 N INDIANA AVE</v>
      </c>
    </row>
    <row r="89" spans="1:5" hidden="1" x14ac:dyDescent="0.3">
      <c r="A89" t="s">
        <v>262</v>
      </c>
      <c r="B89" t="e">
        <f>VLOOKUP(A89,Enrollment!A:A,1,FALSE)</f>
        <v>#N/A</v>
      </c>
      <c r="C89" t="str">
        <f>VLOOKUP(A89,Distance!A:A,1,FALSE)</f>
        <v>CRAVENS HALL</v>
      </c>
      <c r="D89" t="e">
        <f>VLOOKUP(A89,Sector!A:A,1,FALSE)</f>
        <v>#N/A</v>
      </c>
      <c r="E89" t="str">
        <f>VLOOKUP(A89,'new Sector'!A:A,1,0)</f>
        <v>CRAVENS HALL</v>
      </c>
    </row>
    <row r="90" spans="1:5" hidden="1" x14ac:dyDescent="0.3">
      <c r="A90" t="s">
        <v>263</v>
      </c>
      <c r="B90" t="e">
        <f>VLOOKUP(A90,Enrollment!A:A,1,FALSE)</f>
        <v>#N/A</v>
      </c>
      <c r="C90" t="str">
        <f>VLOOKUP(A90,Distance!A:A,1,FALSE)</f>
        <v>SMITH HALL</v>
      </c>
      <c r="D90" t="e">
        <f>VLOOKUP(A90,Sector!A:A,1,FALSE)</f>
        <v>#N/A</v>
      </c>
      <c r="E90" t="str">
        <f>VLOOKUP(A90,'new Sector'!A:A,1,0)</f>
        <v>SMITH HALL</v>
      </c>
    </row>
    <row r="91" spans="1:5" hidden="1" x14ac:dyDescent="0.3">
      <c r="A91" t="s">
        <v>264</v>
      </c>
      <c r="B91" t="e">
        <f>VLOOKUP(A91,Enrollment!A:A,1,FALSE)</f>
        <v>#N/A</v>
      </c>
      <c r="C91" t="str">
        <f>VLOOKUP(A91,Distance!A:A,1,FALSE)</f>
        <v>809 E 9TH ST</v>
      </c>
      <c r="D91" t="e">
        <f>VLOOKUP(A91,Sector!A:A,1,FALSE)</f>
        <v>#N/A</v>
      </c>
      <c r="E91" t="str">
        <f>VLOOKUP(A91,'new Sector'!A:A,1,0)</f>
        <v>809 E 9TH ST</v>
      </c>
    </row>
    <row r="92" spans="1:5" hidden="1" x14ac:dyDescent="0.3">
      <c r="A92" t="s">
        <v>265</v>
      </c>
      <c r="B92" t="e">
        <f>VLOOKUP(A92,Enrollment!A:A,1,FALSE)</f>
        <v>#N/A</v>
      </c>
      <c r="C92" t="str">
        <f>VLOOKUP(A92,Distance!A:A,1,FALSE)</f>
        <v>704 E 8TH ST</v>
      </c>
      <c r="D92" t="str">
        <f>VLOOKUP(A92,Sector!A:A,1,FALSE)</f>
        <v>704 E 8TH ST</v>
      </c>
      <c r="E92" t="str">
        <f>VLOOKUP(A92,'new Sector'!A:A,1,0)</f>
        <v>704 E 8TH ST</v>
      </c>
    </row>
    <row r="93" spans="1:5" hidden="1" x14ac:dyDescent="0.3">
      <c r="A93" t="s">
        <v>266</v>
      </c>
      <c r="B93" t="e">
        <f>VLOOKUP(A93,Enrollment!A:A,1,FALSE)</f>
        <v>#N/A</v>
      </c>
      <c r="C93" t="str">
        <f>VLOOKUP(A93,Distance!A:A,1,FALSE)</f>
        <v>714 E 8TH ST</v>
      </c>
      <c r="D93" t="e">
        <f>VLOOKUP(A93,Sector!A:A,1,FALSE)</f>
        <v>#N/A</v>
      </c>
      <c r="E93" t="str">
        <f>VLOOKUP(A93,'new Sector'!A:A,1,0)</f>
        <v>714 E 8TH ST</v>
      </c>
    </row>
    <row r="94" spans="1:5" hidden="1" x14ac:dyDescent="0.3">
      <c r="A94" t="s">
        <v>267</v>
      </c>
      <c r="B94" t="e">
        <f>VLOOKUP(A94,Enrollment!A:A,1,FALSE)</f>
        <v>#N/A</v>
      </c>
      <c r="C94" t="str">
        <f>VLOOKUP(A94,Distance!A:A,1,FALSE)</f>
        <v>715 E 8TH ST</v>
      </c>
      <c r="D94" t="str">
        <f>VLOOKUP(A94,Sector!A:A,1,FALSE)</f>
        <v>715 E 8TH ST</v>
      </c>
      <c r="E94" t="str">
        <f>VLOOKUP(A94,'new Sector'!A:A,1,0)</f>
        <v>715 E 8TH ST</v>
      </c>
    </row>
    <row r="95" spans="1:5" hidden="1" x14ac:dyDescent="0.3">
      <c r="A95" t="s">
        <v>268</v>
      </c>
      <c r="B95" t="e">
        <f>VLOOKUP(A95,Enrollment!A:A,1,FALSE)</f>
        <v>#N/A</v>
      </c>
      <c r="C95" t="str">
        <f>VLOOKUP(A95,Distance!A:A,1,FALSE)</f>
        <v>708 E 8TH ST</v>
      </c>
      <c r="D95" t="str">
        <f>VLOOKUP(A95,Sector!A:A,1,FALSE)</f>
        <v>708 E 8TH ST</v>
      </c>
      <c r="E95" t="str">
        <f>VLOOKUP(A95,'new Sector'!A:A,1,0)</f>
        <v>708 E 8TH ST</v>
      </c>
    </row>
    <row r="96" spans="1:5" hidden="1" x14ac:dyDescent="0.3">
      <c r="A96" t="s">
        <v>269</v>
      </c>
      <c r="B96" t="e">
        <f>VLOOKUP(A96,Enrollment!A:A,1,FALSE)</f>
        <v>#N/A</v>
      </c>
      <c r="C96" t="str">
        <f>VLOOKUP(A96,Distance!A:A,1,FALSE)</f>
        <v>502 N FESS AVE</v>
      </c>
      <c r="D96" t="e">
        <f>VLOOKUP(A96,Sector!A:A,1,FALSE)</f>
        <v>#N/A</v>
      </c>
      <c r="E96" t="str">
        <f>VLOOKUP(A96,'new Sector'!A:A,1,0)</f>
        <v>502 N FESS AVE</v>
      </c>
    </row>
    <row r="97" spans="1:5" hidden="1" x14ac:dyDescent="0.3">
      <c r="A97" t="s">
        <v>270</v>
      </c>
      <c r="B97" t="e">
        <f>VLOOKUP(A97,Enrollment!A:A,1,FALSE)</f>
        <v>#N/A</v>
      </c>
      <c r="C97" t="str">
        <f>VLOOKUP(A97,Distance!A:A,1,FALSE)</f>
        <v>309 N WOODLAWN AVE</v>
      </c>
      <c r="D97" t="str">
        <f>VLOOKUP(A97,Sector!A:A,1,FALSE)</f>
        <v>309 N WOODLAWN AVE</v>
      </c>
      <c r="E97" t="str">
        <f>VLOOKUP(A97,'new Sector'!A:A,1,0)</f>
        <v>309 N WOODLAWN AVE</v>
      </c>
    </row>
    <row r="98" spans="1:5" hidden="1" x14ac:dyDescent="0.3">
      <c r="A98" t="s">
        <v>271</v>
      </c>
      <c r="B98" t="e">
        <f>VLOOKUP(A98,Enrollment!A:A,1,FALSE)</f>
        <v>#N/A</v>
      </c>
      <c r="C98" t="str">
        <f>VLOOKUP(A98,Distance!A:A,1,FALSE)</f>
        <v>421 N PARK AVE</v>
      </c>
      <c r="D98" t="e">
        <f>VLOOKUP(A98,Sector!A:A,1,FALSE)</f>
        <v>#N/A</v>
      </c>
      <c r="E98" t="str">
        <f>VLOOKUP(A98,'new Sector'!A:A,1,0)</f>
        <v>421 N PARK AVE</v>
      </c>
    </row>
    <row r="99" spans="1:5" hidden="1" x14ac:dyDescent="0.3">
      <c r="A99" t="s">
        <v>272</v>
      </c>
      <c r="B99" t="e">
        <f>VLOOKUP(A99,Enrollment!A:A,1,FALSE)</f>
        <v>#N/A</v>
      </c>
      <c r="C99" t="str">
        <f>VLOOKUP(A99,Distance!A:A,1,FALSE)</f>
        <v>612 N PARK AVE</v>
      </c>
      <c r="D99" t="e">
        <f>VLOOKUP(A99,Sector!A:A,1,FALSE)</f>
        <v>#N/A</v>
      </c>
      <c r="E99" t="str">
        <f>VLOOKUP(A99,'new Sector'!A:A,1,0)</f>
        <v>612 N PARK AVE</v>
      </c>
    </row>
    <row r="100" spans="1:5" hidden="1" x14ac:dyDescent="0.3">
      <c r="A100" t="s">
        <v>77</v>
      </c>
      <c r="B100" t="str">
        <f>VLOOKUP(A100,Enrollment!A:A,1,FALSE)</f>
        <v>HUTTON HONORS COLLEGE</v>
      </c>
      <c r="C100" t="str">
        <f>VLOOKUP(A100,Distance!A:A,1,FALSE)</f>
        <v>HUTTON HONORS COLLEGE</v>
      </c>
      <c r="D100" t="str">
        <f>VLOOKUP(A100,Sector!A:A,1,FALSE)</f>
        <v>HUTTON HONORS COLLEGE</v>
      </c>
      <c r="E100" t="str">
        <f>VLOOKUP(A100,'new Sector'!A:A,1,0)</f>
        <v>HUTTON HONORS COLLEGE</v>
      </c>
    </row>
    <row r="101" spans="1:5" hidden="1" x14ac:dyDescent="0.3">
      <c r="A101" t="s">
        <v>273</v>
      </c>
      <c r="B101" t="e">
        <f>VLOOKUP(A101,Enrollment!A:A,1,FALSE)</f>
        <v>#N/A</v>
      </c>
      <c r="C101" t="str">
        <f>VLOOKUP(A101,Distance!A:A,1,FALSE)</f>
        <v>310-312 N PARK AVE</v>
      </c>
      <c r="D101" t="str">
        <f>VLOOKUP(A101,Sector!A:A,1,FALSE)</f>
        <v>310-312 N PARK AVE</v>
      </c>
      <c r="E101" t="str">
        <f>VLOOKUP(A101,'new Sector'!A:A,1,0)</f>
        <v>310-312 N PARK AVE</v>
      </c>
    </row>
    <row r="102" spans="1:5" hidden="1" x14ac:dyDescent="0.3">
      <c r="A102" t="s">
        <v>274</v>
      </c>
      <c r="B102" t="e">
        <f>VLOOKUP(A102,Enrollment!A:A,1,FALSE)</f>
        <v>#N/A</v>
      </c>
      <c r="C102" t="str">
        <f>VLOOKUP(A102,Distance!A:A,1,FALSE)</f>
        <v>HARRIS HOUSE</v>
      </c>
      <c r="D102" t="str">
        <f>VLOOKUP(A102,Sector!A:A,1,FALSE)</f>
        <v>HARRIS HOUSE</v>
      </c>
      <c r="E102" t="str">
        <f>VLOOKUP(A102,'new Sector'!A:A,1,0)</f>
        <v>HARRIS HOUSE</v>
      </c>
    </row>
    <row r="103" spans="1:5" hidden="1" x14ac:dyDescent="0.3">
      <c r="A103" t="s">
        <v>164</v>
      </c>
      <c r="B103" t="str">
        <f>VLOOKUP(A103,Enrollment!A:A,1,FALSE)</f>
        <v>IN MEMORIAL UNION</v>
      </c>
      <c r="C103" t="str">
        <f>VLOOKUP(A103,Distance!A:A,1,FALSE)</f>
        <v>IN MEMORIAL UNION</v>
      </c>
      <c r="D103" t="str">
        <f>VLOOKUP(A103,Sector!A:A,1,FALSE)</f>
        <v>IN MEMORIAL UNION</v>
      </c>
      <c r="E103" t="str">
        <f>VLOOKUP(A103,'new Sector'!A:A,1,0)</f>
        <v>IN MEMORIAL UNION</v>
      </c>
    </row>
    <row r="104" spans="1:5" hidden="1" x14ac:dyDescent="0.3">
      <c r="A104" t="s">
        <v>275</v>
      </c>
      <c r="B104" t="e">
        <f>VLOOKUP(A104,Enrollment!A:A,1,FALSE)</f>
        <v>#N/A</v>
      </c>
      <c r="C104" t="str">
        <f>VLOOKUP(A104,Distance!A:A,1,FALSE)</f>
        <v>IMU GUARD HUT</v>
      </c>
      <c r="D104" t="str">
        <f>VLOOKUP(A104,Sector!A:A,1,FALSE)</f>
        <v>IMU GUARD HUT</v>
      </c>
      <c r="E104" t="str">
        <f>VLOOKUP(A104,'new Sector'!A:A,1,0)</f>
        <v>IMU GUARD HUT</v>
      </c>
    </row>
    <row r="105" spans="1:5" hidden="1" x14ac:dyDescent="0.3">
      <c r="A105" t="s">
        <v>276</v>
      </c>
      <c r="B105" t="e">
        <f>VLOOKUP(A105,Enrollment!A:A,1,FALSE)</f>
        <v>#N/A</v>
      </c>
      <c r="C105" t="str">
        <f>VLOOKUP(A105,Distance!A:A,1,FALSE)</f>
        <v>OWEN HALL</v>
      </c>
      <c r="D105" t="str">
        <f>VLOOKUP(A105,Sector!A:A,1,FALSE)</f>
        <v>OWEN HALL</v>
      </c>
      <c r="E105" t="str">
        <f>VLOOKUP(A105,'new Sector'!A:A,1,0)</f>
        <v>OWEN HALL</v>
      </c>
    </row>
    <row r="106" spans="1:5" hidden="1" x14ac:dyDescent="0.3">
      <c r="A106" t="s">
        <v>19</v>
      </c>
      <c r="B106" t="str">
        <f>VLOOKUP(A106,Enrollment!A:A,1,FALSE)</f>
        <v>WYLIE HALL</v>
      </c>
      <c r="C106" t="str">
        <f>VLOOKUP(A106,Distance!A:A,1,FALSE)</f>
        <v>WYLIE HALL</v>
      </c>
      <c r="D106" t="str">
        <f>VLOOKUP(A106,Sector!A:A,1,FALSE)</f>
        <v>WYLIE HALL</v>
      </c>
      <c r="E106" t="str">
        <f>VLOOKUP(A106,'new Sector'!A:A,1,0)</f>
        <v>WYLIE HALL</v>
      </c>
    </row>
    <row r="107" spans="1:5" hidden="1" x14ac:dyDescent="0.3">
      <c r="A107" t="s">
        <v>7</v>
      </c>
      <c r="B107" t="str">
        <f>VLOOKUP(A107,Enrollment!A:A,1,FALSE)</f>
        <v>KIRKWOOD HALL</v>
      </c>
      <c r="C107" t="str">
        <f>VLOOKUP(A107,Distance!A:A,1,FALSE)</f>
        <v>KIRKWOOD HALL</v>
      </c>
      <c r="D107" t="str">
        <f>VLOOKUP(A107,Sector!A:A,1,FALSE)</f>
        <v>KIRKWOOD HALL</v>
      </c>
      <c r="E107" t="str">
        <f>VLOOKUP(A107,'new Sector'!A:A,1,0)</f>
        <v>KIRKWOOD HALL</v>
      </c>
    </row>
    <row r="108" spans="1:5" hidden="1" x14ac:dyDescent="0.3">
      <c r="A108" t="s">
        <v>9</v>
      </c>
      <c r="B108" t="str">
        <f>VLOOKUP(A108,Enrollment!A:A,1,FALSE)</f>
        <v>LINDLEY HALL</v>
      </c>
      <c r="C108" t="str">
        <f>VLOOKUP(A108,Distance!A:A,1,FALSE)</f>
        <v>LINDLEY HALL</v>
      </c>
      <c r="D108" t="str">
        <f>VLOOKUP(A108,Sector!A:A,1,FALSE)</f>
        <v>LINDLEY HALL</v>
      </c>
      <c r="E108" t="str">
        <f>VLOOKUP(A108,'new Sector'!A:A,1,0)</f>
        <v>LINDLEY HALL</v>
      </c>
    </row>
    <row r="109" spans="1:5" hidden="1" x14ac:dyDescent="0.3">
      <c r="A109" t="s">
        <v>128</v>
      </c>
      <c r="B109" t="str">
        <f>VLOOKUP(A109,Enrollment!A:A,1,FALSE)</f>
        <v>SWAIN EAST</v>
      </c>
      <c r="C109" t="str">
        <f>VLOOKUP(A109,Distance!A:A,1,FALSE)</f>
        <v>SWAIN EAST</v>
      </c>
      <c r="D109" t="e">
        <f>VLOOKUP(A109,Sector!A:A,1,FALSE)</f>
        <v>#N/A</v>
      </c>
      <c r="E109" t="str">
        <f>VLOOKUP(A109,'new Sector'!A:A,1,0)</f>
        <v>SWAIN EAST</v>
      </c>
    </row>
    <row r="110" spans="1:5" hidden="1" x14ac:dyDescent="0.3">
      <c r="A110" t="s">
        <v>277</v>
      </c>
      <c r="B110" t="e">
        <f>VLOOKUP(A110,Enrollment!A:A,1,FALSE)</f>
        <v>#N/A</v>
      </c>
      <c r="C110" t="str">
        <f>VLOOKUP(A110,Distance!A:A,1,FALSE)</f>
        <v>ATWATER EYE CARE CENTER</v>
      </c>
      <c r="D110" t="str">
        <f>VLOOKUP(A110,Sector!A:A,1,FALSE)</f>
        <v>ATWATER EYE CARE CENTER</v>
      </c>
      <c r="E110" t="str">
        <f>VLOOKUP(A110,'new Sector'!A:A,1,0)</f>
        <v>ATWATER EYE CARE CENTER</v>
      </c>
    </row>
    <row r="111" spans="1:5" hidden="1" x14ac:dyDescent="0.3">
      <c r="A111" t="s">
        <v>278</v>
      </c>
      <c r="B111" t="e">
        <f>VLOOKUP(A111,Enrollment!A:A,1,FALSE)</f>
        <v>#N/A</v>
      </c>
      <c r="C111" t="str">
        <f>VLOOKUP(A111,Distance!A:A,1,FALSE)</f>
        <v>HENDERSON PARKING GARAGE</v>
      </c>
      <c r="D111" t="str">
        <f>VLOOKUP(A111,Sector!A:A,1,FALSE)</f>
        <v>HENDERSON PARKING GARAGE</v>
      </c>
      <c r="E111" t="str">
        <f>VLOOKUP(A111,'new Sector'!A:A,1,0)</f>
        <v>HENDERSON PARKING GARAGE</v>
      </c>
    </row>
    <row r="112" spans="1:5" hidden="1" x14ac:dyDescent="0.3">
      <c r="A112" t="s">
        <v>109</v>
      </c>
      <c r="B112" t="str">
        <f>VLOOKUP(A112,Enrollment!A:A,1,FALSE)</f>
        <v>OPTOMETRY SCHOOL</v>
      </c>
      <c r="C112" t="str">
        <f>VLOOKUP(A112,Distance!A:A,1,FALSE)</f>
        <v>OPTOMETRY SCHOOL</v>
      </c>
      <c r="D112" t="str">
        <f>VLOOKUP(A112,Sector!A:A,1,FALSE)</f>
        <v>OPTOMETRY SCHOOL</v>
      </c>
      <c r="E112" t="str">
        <f>VLOOKUP(A112,'new Sector'!A:A,1,0)</f>
        <v>OPTOMETRY SCHOOL</v>
      </c>
    </row>
    <row r="113" spans="1:5" hidden="1" x14ac:dyDescent="0.3">
      <c r="A113" t="s">
        <v>178</v>
      </c>
      <c r="B113" t="str">
        <f>VLOOKUP(A113,Enrollment!A:A,1,FALSE)</f>
        <v>814 E 3RD ST</v>
      </c>
      <c r="C113" t="str">
        <f>VLOOKUP(A113,Distance!A:A,1,FALSE)</f>
        <v>814 E 3RD ST</v>
      </c>
      <c r="D113" t="str">
        <f>VLOOKUP(A113,Sector!A:A,1,FALSE)</f>
        <v>814 E 3RD ST</v>
      </c>
      <c r="E113" t="str">
        <f>VLOOKUP(A113,'new Sector'!A:A,1,0)</f>
        <v>814 E 3RD ST</v>
      </c>
    </row>
    <row r="114" spans="1:5" hidden="1" x14ac:dyDescent="0.3">
      <c r="A114" t="s">
        <v>55</v>
      </c>
      <c r="B114" t="str">
        <f>VLOOKUP(A114,Enrollment!A:A,1,FALSE)</f>
        <v>CLASSROOM-OFFICE BUILDING</v>
      </c>
      <c r="C114" t="str">
        <f>VLOOKUP(A114,Distance!A:A,1,FALSE)</f>
        <v>CLASSROOM-OFFICE BUILDING</v>
      </c>
      <c r="D114" t="str">
        <f>VLOOKUP(A114,Sector!A:A,1,FALSE)</f>
        <v>CLASSROOM-OFFICE BUILDING</v>
      </c>
      <c r="E114" t="str">
        <f>VLOOKUP(A114,'new Sector'!A:A,1,0)</f>
        <v>CLASSROOM-OFFICE BUILDING</v>
      </c>
    </row>
    <row r="115" spans="1:5" hidden="1" x14ac:dyDescent="0.3">
      <c r="A115" t="s">
        <v>114</v>
      </c>
      <c r="B115" t="str">
        <f>VLOOKUP(A115,Enrollment!A:A,1,FALSE)</f>
        <v>RAWLES HALL</v>
      </c>
      <c r="C115" t="str">
        <f>VLOOKUP(A115,Distance!A:A,1,FALSE)</f>
        <v>RAWLES HALL</v>
      </c>
      <c r="D115" t="str">
        <f>VLOOKUP(A115,Sector!A:A,1,FALSE)</f>
        <v>RAWLES HALL</v>
      </c>
      <c r="E115" t="str">
        <f>VLOOKUP(A115,'new Sector'!A:A,1,0)</f>
        <v>RAWLES HALL</v>
      </c>
    </row>
    <row r="116" spans="1:5" hidden="1" x14ac:dyDescent="0.3">
      <c r="A116" t="s">
        <v>279</v>
      </c>
      <c r="B116" t="e">
        <f>VLOOKUP(A116,Enrollment!A:A,1,FALSE)</f>
        <v>#N/A</v>
      </c>
      <c r="C116" t="str">
        <f>VLOOKUP(A116,Distance!A:A,1,FALSE)</f>
        <v>ATWATER PARKING</v>
      </c>
      <c r="D116" t="str">
        <f>VLOOKUP(A116,Sector!A:A,1,FALSE)</f>
        <v>ATWATER PARKING</v>
      </c>
      <c r="E116" t="str">
        <f>VLOOKUP(A116,'new Sector'!A:A,1,0)</f>
        <v>ATWATER PARKING</v>
      </c>
    </row>
    <row r="117" spans="1:5" hidden="1" x14ac:dyDescent="0.3">
      <c r="A117" t="s">
        <v>122</v>
      </c>
      <c r="B117" t="str">
        <f>VLOOKUP(A117,Enrollment!A:A,1,FALSE)</f>
        <v>SIMON HALL (SCIENCE)</v>
      </c>
      <c r="C117" t="str">
        <f>VLOOKUP(A117,Distance!A:A,1,FALSE)</f>
        <v>SIMON HALL (SCIENCE)</v>
      </c>
      <c r="D117" t="e">
        <f>VLOOKUP(A117,Sector!A:A,1,FALSE)</f>
        <v>#N/A</v>
      </c>
      <c r="E117" t="str">
        <f>VLOOKUP(A117,'new Sector'!A:A,1,0)</f>
        <v>SIMON HALL (SCIENCE)</v>
      </c>
    </row>
    <row r="118" spans="1:5" hidden="1" x14ac:dyDescent="0.3">
      <c r="A118" t="s">
        <v>53</v>
      </c>
      <c r="B118" t="str">
        <f>VLOOKUP(A118,Enrollment!A:A,1,FALSE)</f>
        <v>CHEMISTRY</v>
      </c>
      <c r="C118" t="str">
        <f>VLOOKUP(A118,Distance!A:A,1,FALSE)</f>
        <v>CHEMISTRY</v>
      </c>
      <c r="D118" t="str">
        <f>VLOOKUP(A118,Sector!A:A,1,FALSE)</f>
        <v>CHEMISTRY</v>
      </c>
      <c r="E118" t="str">
        <f>VLOOKUP(A118,'new Sector'!A:A,1,0)</f>
        <v>CHEMISTRY</v>
      </c>
    </row>
    <row r="119" spans="1:5" hidden="1" x14ac:dyDescent="0.3">
      <c r="A119" t="s">
        <v>54</v>
      </c>
      <c r="B119" t="str">
        <f>VLOOKUP(A119,Enrollment!A:A,1,FALSE)</f>
        <v>CHEMISTRY ADDITION</v>
      </c>
      <c r="C119" t="str">
        <f>VLOOKUP(A119,Distance!A:A,1,FALSE)</f>
        <v>CHEMISTRY ADDITION</v>
      </c>
      <c r="D119" t="e">
        <f>VLOOKUP(A119,Sector!A:A,1,FALSE)</f>
        <v>#N/A</v>
      </c>
      <c r="E119" t="str">
        <f>VLOOKUP(A119,'new Sector'!A:A,1,0)</f>
        <v>CHEMISTRY ADDITION</v>
      </c>
    </row>
    <row r="120" spans="1:5" hidden="1" x14ac:dyDescent="0.3">
      <c r="A120" t="s">
        <v>280</v>
      </c>
      <c r="B120" t="e">
        <f>VLOOKUP(A120,Enrollment!A:A,1,FALSE)</f>
        <v>#N/A</v>
      </c>
      <c r="C120" t="str">
        <f>VLOOKUP(A120,Distance!A:A,1,FALSE)</f>
        <v>8TH ST HUT (HPER)</v>
      </c>
      <c r="D120" t="str">
        <f>VLOOKUP(A120,Sector!A:A,1,FALSE)</f>
        <v>8TH ST HUT (HPER)</v>
      </c>
      <c r="E120" t="str">
        <f>VLOOKUP(A120,'new Sector'!A:A,1,0)</f>
        <v>8TH ST HUT (HPER)</v>
      </c>
    </row>
    <row r="121" spans="1:5" hidden="1" x14ac:dyDescent="0.3">
      <c r="A121" t="s">
        <v>65</v>
      </c>
      <c r="B121" t="str">
        <f>VLOOKUP(A121,Enrollment!A:A,1,FALSE)</f>
        <v>ERNIE PYLE HALL</v>
      </c>
      <c r="C121" t="str">
        <f>VLOOKUP(A121,Distance!A:A,1,FALSE)</f>
        <v>ERNIE PYLE HALL</v>
      </c>
      <c r="D121" t="str">
        <f>VLOOKUP(A121,Sector!A:A,1,FALSE)</f>
        <v>ERNIE PYLE HALL</v>
      </c>
      <c r="E121" t="str">
        <f>VLOOKUP(A121,'new Sector'!A:A,1,0)</f>
        <v>ERNIE PYLE HALL</v>
      </c>
    </row>
    <row r="122" spans="1:5" hidden="1" x14ac:dyDescent="0.3">
      <c r="A122" t="s">
        <v>48</v>
      </c>
      <c r="B122" t="str">
        <f>VLOOKUP(A122,Enrollment!A:A,1,FALSE)</f>
        <v>BILL GARRETT FIELDHOUSE</v>
      </c>
      <c r="C122" t="str">
        <f>VLOOKUP(A122,Distance!A:A,1,FALSE)</f>
        <v>BILL GARRETT FIELDHOUSE</v>
      </c>
      <c r="D122" t="str">
        <f>VLOOKUP(A122,Sector!A:A,1,FALSE)</f>
        <v>BILL GARRETT FIELDHOUSE</v>
      </c>
      <c r="E122" t="str">
        <f>VLOOKUP(A122,'new Sector'!A:A,1,0)</f>
        <v>BILL GARRETT FIELDHOUSE</v>
      </c>
    </row>
    <row r="123" spans="1:5" hidden="1" x14ac:dyDescent="0.3">
      <c r="A123" t="s">
        <v>281</v>
      </c>
      <c r="B123" t="e">
        <f>VLOOKUP(A123,Enrollment!A:A,1,FALSE)</f>
        <v>#N/A</v>
      </c>
      <c r="C123" t="str">
        <f>VLOOKUP(A123,Distance!A:A,1,FALSE)</f>
        <v>BECK CHAPEL</v>
      </c>
      <c r="D123" t="str">
        <f>VLOOKUP(A123,Sector!A:A,1,FALSE)</f>
        <v>BECK CHAPEL</v>
      </c>
      <c r="E123" t="str">
        <f>VLOOKUP(A123,'new Sector'!A:A,1,0)</f>
        <v>BECK CHAPEL</v>
      </c>
    </row>
    <row r="124" spans="1:5" hidden="1" x14ac:dyDescent="0.3">
      <c r="A124" t="s">
        <v>104</v>
      </c>
      <c r="B124" t="str">
        <f>VLOOKUP(A124,Enrollment!A:A,1,FALSE)</f>
        <v>MYERS HALL</v>
      </c>
      <c r="C124" t="str">
        <f>VLOOKUP(A124,Distance!A:A,1,FALSE)</f>
        <v>MYERS HALL</v>
      </c>
      <c r="D124" t="e">
        <f>VLOOKUP(A124,Sector!A:A,1,FALSE)</f>
        <v>#N/A</v>
      </c>
      <c r="E124" t="str">
        <f>VLOOKUP(A124,'new Sector'!A:A,1,0)</f>
        <v>MYERS HALL</v>
      </c>
    </row>
    <row r="125" spans="1:5" hidden="1" x14ac:dyDescent="0.3">
      <c r="A125" t="s">
        <v>49</v>
      </c>
      <c r="B125" t="str">
        <f>VLOOKUP(A125,Enrollment!A:A,1,FALSE)</f>
        <v>BIOLOGY BUILDING</v>
      </c>
      <c r="C125" t="str">
        <f>VLOOKUP(A125,Distance!A:A,1,FALSE)</f>
        <v>BIOLOGY BUILDING</v>
      </c>
      <c r="D125" t="str">
        <f>VLOOKUP(A125,Sector!A:A,1,FALSE)</f>
        <v>BIOLOGY BUILDING</v>
      </c>
      <c r="E125" t="str">
        <f>VLOOKUP(A125,'new Sector'!A:A,1,0)</f>
        <v>BIOLOGY BUILDING</v>
      </c>
    </row>
    <row r="126" spans="1:5" hidden="1" x14ac:dyDescent="0.3">
      <c r="A126" t="s">
        <v>282</v>
      </c>
      <c r="B126" t="e">
        <f>VLOOKUP(A126,Enrollment!A:A,1,FALSE)</f>
        <v>#N/A</v>
      </c>
      <c r="C126" t="str">
        <f>VLOOKUP(A126,Distance!A:A,1,FALSE)</f>
        <v>GOODBODY HALL</v>
      </c>
      <c r="D126" t="str">
        <f>VLOOKUP(A126,Sector!A:A,1,FALSE)</f>
        <v>GOODBODY HALL</v>
      </c>
      <c r="E126" t="str">
        <f>VLOOKUP(A126,'new Sector'!A:A,1,0)</f>
        <v>GOODBODY HALL</v>
      </c>
    </row>
    <row r="127" spans="1:5" hidden="1" x14ac:dyDescent="0.3">
      <c r="A127" t="s">
        <v>1</v>
      </c>
      <c r="B127" t="str">
        <f>VLOOKUP(A127,Enrollment!A:A,1,FALSE)</f>
        <v>BALLANTINE HALL</v>
      </c>
      <c r="C127" t="str">
        <f>VLOOKUP(A127,Distance!A:A,1,FALSE)</f>
        <v>BALLANTINE HALL</v>
      </c>
      <c r="D127" t="e">
        <f>VLOOKUP(A127,Sector!A:A,1,FALSE)</f>
        <v>#N/A</v>
      </c>
      <c r="E127" t="str">
        <f>VLOOKUP(A127,'new Sector'!A:A,1,0)</f>
        <v>BALLANTINE HALL</v>
      </c>
    </row>
    <row r="128" spans="1:5" hidden="1" x14ac:dyDescent="0.3">
      <c r="A128" t="s">
        <v>12</v>
      </c>
      <c r="B128" t="str">
        <f>VLOOKUP(A128,Enrollment!A:A,1,FALSE)</f>
        <v>SCHOOL OF PUBLIC HEALTH</v>
      </c>
      <c r="C128" t="str">
        <f>VLOOKUP(A128,Distance!A:A,1,FALSE)</f>
        <v>SCHOOL OF PUBLIC HEALTH</v>
      </c>
      <c r="D128" t="e">
        <f>VLOOKUP(A128,Sector!A:A,1,FALSE)</f>
        <v>#N/A</v>
      </c>
      <c r="E128" t="str">
        <f>VLOOKUP(A128,'new Sector'!A:A,1,0)</f>
        <v>SCHOOL OF PUBLIC HEALTH</v>
      </c>
    </row>
    <row r="129" spans="1:5" hidden="1" x14ac:dyDescent="0.3">
      <c r="A129" t="s">
        <v>283</v>
      </c>
      <c r="B129" t="e">
        <f>VLOOKUP(A129,Enrollment!A:A,1,FALSE)</f>
        <v>#N/A</v>
      </c>
      <c r="C129" t="str">
        <f>VLOOKUP(A129,Distance!A:A,1,FALSE)</f>
        <v>7TH ST HUT</v>
      </c>
      <c r="D129" t="str">
        <f>VLOOKUP(A129,Sector!A:A,1,FALSE)</f>
        <v>7TH ST HUT</v>
      </c>
      <c r="E129" t="str">
        <f>VLOOKUP(A129,'new Sector'!A:A,1,0)</f>
        <v>7TH ST HUT</v>
      </c>
    </row>
    <row r="130" spans="1:5" hidden="1" x14ac:dyDescent="0.3">
      <c r="A130" t="s">
        <v>18</v>
      </c>
      <c r="B130" t="str">
        <f>VLOOKUP(A130,Enrollment!A:A,1,FALSE)</f>
        <v>WOODBURN HALL</v>
      </c>
      <c r="C130" t="str">
        <f>VLOOKUP(A130,Distance!A:A,1,FALSE)</f>
        <v>WOODBURN HALL</v>
      </c>
      <c r="D130" t="str">
        <f>VLOOKUP(A130,Sector!A:A,1,FALSE)</f>
        <v>WOODBURN HALL</v>
      </c>
      <c r="E130" t="str">
        <f>VLOOKUP(A130,'new Sector'!A:A,1,0)</f>
        <v>WOODBURN HALL</v>
      </c>
    </row>
    <row r="131" spans="1:5" hidden="1" x14ac:dyDescent="0.3">
      <c r="A131" t="s">
        <v>284</v>
      </c>
      <c r="B131" t="e">
        <f>VLOOKUP(A131,Enrollment!A:A,1,FALSE)</f>
        <v>#N/A</v>
      </c>
      <c r="C131" t="str">
        <f>VLOOKUP(A131,Distance!A:A,1,FALSE)</f>
        <v>BRYAN HOUSE</v>
      </c>
      <c r="D131" t="e">
        <f>VLOOKUP(A131,Sector!A:A,1,FALSE)</f>
        <v>#N/A</v>
      </c>
      <c r="E131" t="str">
        <f>VLOOKUP(A131,'new Sector'!A:A,1,0)</f>
        <v>BRYAN HOUSE</v>
      </c>
    </row>
    <row r="132" spans="1:5" hidden="1" x14ac:dyDescent="0.3">
      <c r="A132" t="s">
        <v>101</v>
      </c>
      <c r="B132" t="str">
        <f>VLOOKUP(A132,Enrollment!A:A,1,FALSE)</f>
        <v>MORRISON HALL</v>
      </c>
      <c r="C132" t="str">
        <f>VLOOKUP(A132,Distance!A:A,1,FALSE)</f>
        <v>MORRISON HALL</v>
      </c>
      <c r="D132" t="str">
        <f>VLOOKUP(A132,Sector!A:A,1,FALSE)</f>
        <v>MORRISON HALL</v>
      </c>
      <c r="E132" t="str">
        <f>VLOOKUP(A132,'new Sector'!A:A,1,0)</f>
        <v>MORRISON HALL</v>
      </c>
    </row>
    <row r="133" spans="1:5" hidden="1" x14ac:dyDescent="0.3">
      <c r="A133" t="s">
        <v>285</v>
      </c>
      <c r="B133" t="e">
        <f>VLOOKUP(A133,Enrollment!A:A,1,FALSE)</f>
        <v>#N/A</v>
      </c>
      <c r="C133" t="str">
        <f>VLOOKUP(A133,Distance!A:A,1,FALSE)</f>
        <v>MEMORIAL HALL</v>
      </c>
      <c r="D133" t="str">
        <f>VLOOKUP(A133,Sector!A:A,1,FALSE)</f>
        <v>MEMORIAL HALL</v>
      </c>
      <c r="E133" t="str">
        <f>VLOOKUP(A133,'new Sector'!A:A,1,0)</f>
        <v>MEMORIAL HALL</v>
      </c>
    </row>
    <row r="134" spans="1:5" hidden="1" x14ac:dyDescent="0.3">
      <c r="A134" t="s">
        <v>286</v>
      </c>
      <c r="B134" t="e">
        <f>VLOOKUP(A134,Enrollment!A:A,1,FALSE)</f>
        <v>#N/A</v>
      </c>
      <c r="C134" t="str">
        <f>VLOOKUP(A134,Distance!A:A,1,FALSE)</f>
        <v>MUSIC PRACTICE</v>
      </c>
      <c r="D134" t="str">
        <f>VLOOKUP(A134,Sector!A:A,1,FALSE)</f>
        <v>MUSIC PRACTICE</v>
      </c>
      <c r="E134" t="str">
        <f>VLOOKUP(A134,'new Sector'!A:A,1,0)</f>
        <v>MUSIC PRACTICE</v>
      </c>
    </row>
    <row r="135" spans="1:5" hidden="1" x14ac:dyDescent="0.3">
      <c r="A135" t="s">
        <v>123</v>
      </c>
      <c r="B135" t="str">
        <f>VLOOKUP(A135,Enrollment!A:A,1,FALSE)</f>
        <v>SOCIAL RESEARCH</v>
      </c>
      <c r="C135" t="str">
        <f>VLOOKUP(A135,Distance!A:A,1,FALSE)</f>
        <v>SOCIAL RESEARCH</v>
      </c>
      <c r="D135" t="str">
        <f>VLOOKUP(A135,Sector!A:A,1,FALSE)</f>
        <v>SOCIAL RESEARCH</v>
      </c>
      <c r="E135" t="str">
        <f>VLOOKUP(A135,'new Sector'!A:A,1,0)</f>
        <v>SOCIAL RESEARCH</v>
      </c>
    </row>
    <row r="136" spans="1:5" hidden="1" x14ac:dyDescent="0.3">
      <c r="A136" t="s">
        <v>99</v>
      </c>
      <c r="B136" t="str">
        <f>VLOOKUP(A136,Enrollment!A:A,1,FALSE)</f>
        <v>MERRILL HALL</v>
      </c>
      <c r="C136" t="str">
        <f>VLOOKUP(A136,Distance!A:A,1,FALSE)</f>
        <v>MERRILL HALL</v>
      </c>
      <c r="D136" t="str">
        <f>VLOOKUP(A136,Sector!A:A,1,FALSE)</f>
        <v>MERRILL HALL</v>
      </c>
      <c r="E136" t="str">
        <f>VLOOKUP(A136,'new Sector'!A:A,1,0)</f>
        <v>MERRILL HALL</v>
      </c>
    </row>
    <row r="137" spans="1:5" hidden="1" x14ac:dyDescent="0.3">
      <c r="A137" t="s">
        <v>102</v>
      </c>
      <c r="B137" t="str">
        <f>VLOOKUP(A137,Enrollment!A:A,1,FALSE)</f>
        <v>MUSIC ADDITION</v>
      </c>
      <c r="C137" t="str">
        <f>VLOOKUP(A137,Distance!A:A,1,FALSE)</f>
        <v>MUSIC ADDITION</v>
      </c>
      <c r="D137" t="str">
        <f>VLOOKUP(A137,Sector!A:A,1,FALSE)</f>
        <v>MUSIC ADDITION</v>
      </c>
      <c r="E137" t="str">
        <f>VLOOKUP(A137,'new Sector'!A:A,1,0)</f>
        <v>MUSIC ADDITION</v>
      </c>
    </row>
    <row r="138" spans="1:5" hidden="1" x14ac:dyDescent="0.3">
      <c r="A138" t="s">
        <v>166</v>
      </c>
      <c r="B138" t="str">
        <f>VLOOKUP(A138,Enrollment!A:A,1,FALSE)</f>
        <v>SYCAMORE HALL</v>
      </c>
      <c r="C138" t="str">
        <f>VLOOKUP(A138,Distance!A:A,1,FALSE)</f>
        <v>SYCAMORE HALL</v>
      </c>
      <c r="D138" t="str">
        <f>VLOOKUP(A138,Sector!A:A,1,FALSE)</f>
        <v>SYCAMORE HALL</v>
      </c>
      <c r="E138" t="str">
        <f>VLOOKUP(A138,'new Sector'!A:A,1,0)</f>
        <v>SYCAMORE HALL</v>
      </c>
    </row>
    <row r="139" spans="1:5" hidden="1" x14ac:dyDescent="0.3">
      <c r="A139" t="s">
        <v>61</v>
      </c>
      <c r="B139" t="str">
        <f>VLOOKUP(A139,Enrollment!A:A,1,FALSE)</f>
        <v>EAST STUDIO BUILDING</v>
      </c>
      <c r="C139" t="str">
        <f>VLOOKUP(A139,Distance!A:A,1,FALSE)</f>
        <v>EAST STUDIO BUILDING</v>
      </c>
      <c r="D139" t="str">
        <f>VLOOKUP(A139,Sector!A:A,1,FALSE)</f>
        <v>EAST STUDIO BUILDING</v>
      </c>
      <c r="E139" t="str">
        <f>VLOOKUP(A139,'new Sector'!A:A,1,0)</f>
        <v>EAST STUDIO BUILDING</v>
      </c>
    </row>
    <row r="140" spans="1:5" hidden="1" x14ac:dyDescent="0.3">
      <c r="A140" t="s">
        <v>287</v>
      </c>
      <c r="B140" t="e">
        <f>VLOOKUP(A140,Enrollment!A:A,1,FALSE)</f>
        <v>#N/A</v>
      </c>
      <c r="C140" t="str">
        <f>VLOOKUP(A140,Distance!A:A,1,FALSE)</f>
        <v>SIDNEY &amp; LOIS ESKENAZI MUSEUM OF ART</v>
      </c>
      <c r="D140" t="str">
        <f>VLOOKUP(A140,Sector!A:A,1,FALSE)</f>
        <v>SIDNEY &amp; LOIS ESKENAZI MUSEUM OF ART</v>
      </c>
      <c r="E140" t="str">
        <f>VLOOKUP(A140,'new Sector'!A:A,1,0)</f>
        <v>SIDNEY &amp; LOIS ESKENAZI MUSEUM OF ART</v>
      </c>
    </row>
    <row r="141" spans="1:5" hidden="1" x14ac:dyDescent="0.3">
      <c r="A141" t="s">
        <v>152</v>
      </c>
      <c r="B141" t="str">
        <f>VLOOKUP(A141,Enrollment!A:A,1,FALSE)</f>
        <v>LILLY LIBRARY</v>
      </c>
      <c r="C141" t="str">
        <f>VLOOKUP(A141,Distance!A:A,1,FALSE)</f>
        <v>LILLY LIBRARY</v>
      </c>
      <c r="D141" t="str">
        <f>VLOOKUP(A141,Sector!A:A,1,FALSE)</f>
        <v>LILLY LIBRARY</v>
      </c>
      <c r="E141" t="str">
        <f>VLOOKUP(A141,'new Sector'!A:A,1,0)</f>
        <v>LILLY LIBRARY</v>
      </c>
    </row>
    <row r="142" spans="1:5" hidden="1" x14ac:dyDescent="0.3">
      <c r="A142" t="s">
        <v>70</v>
      </c>
      <c r="B142" t="str">
        <f>VLOOKUP(A142,Enrollment!A:A,1,FALSE)</f>
        <v>FINE ARTS</v>
      </c>
      <c r="C142" t="str">
        <f>VLOOKUP(A142,Distance!A:A,1,FALSE)</f>
        <v>FINE ARTS</v>
      </c>
      <c r="D142" t="str">
        <f>VLOOKUP(A142,Sector!A:A,1,FALSE)</f>
        <v>FINE ARTS</v>
      </c>
      <c r="E142" t="str">
        <f>VLOOKUP(A142,'new Sector'!A:A,1,0)</f>
        <v>FINE ARTS</v>
      </c>
    </row>
    <row r="143" spans="1:5" hidden="1" x14ac:dyDescent="0.3">
      <c r="A143" t="s">
        <v>112</v>
      </c>
      <c r="B143" t="str">
        <f>VLOOKUP(A143,Enrollment!A:A,1,FALSE)</f>
        <v>RADIO-TV</v>
      </c>
      <c r="C143" t="str">
        <f>VLOOKUP(A143,Distance!A:A,1,FALSE)</f>
        <v>RADIO-TV</v>
      </c>
      <c r="D143" t="str">
        <f>VLOOKUP(A143,Sector!A:A,1,FALSE)</f>
        <v>RADIO-TV</v>
      </c>
      <c r="E143" t="str">
        <f>VLOOKUP(A143,'new Sector'!A:A,1,0)</f>
        <v>RADIO-TV</v>
      </c>
    </row>
    <row r="144" spans="1:5" hidden="1" x14ac:dyDescent="0.3">
      <c r="A144" t="s">
        <v>288</v>
      </c>
      <c r="B144" t="e">
        <f>VLOOKUP(A144,Enrollment!A:A,1,FALSE)</f>
        <v>#N/A</v>
      </c>
      <c r="C144" t="str">
        <f>VLOOKUP(A144,Distance!A:A,1,FALSE)</f>
        <v>ARBORETUM</v>
      </c>
      <c r="D144" t="str">
        <f>VLOOKUP(A144,Sector!A:A,1,FALSE)</f>
        <v>ARBORETUM</v>
      </c>
      <c r="E144" t="str">
        <f>VLOOKUP(A144,'new Sector'!A:A,1,0)</f>
        <v>ARBORETUM</v>
      </c>
    </row>
    <row r="145" spans="1:5" hidden="1" x14ac:dyDescent="0.3">
      <c r="A145" t="s">
        <v>47</v>
      </c>
      <c r="B145" t="str">
        <f>VLOOKUP(A145,Enrollment!A:A,1,FALSE)</f>
        <v>AUDITORIUM</v>
      </c>
      <c r="C145" t="str">
        <f>VLOOKUP(A145,Distance!A:A,1,FALSE)</f>
        <v>AUDITORIUM</v>
      </c>
      <c r="D145" t="str">
        <f>VLOOKUP(A145,Sector!A:A,1,FALSE)</f>
        <v>AUDITORIUM</v>
      </c>
      <c r="E145" t="str">
        <f>VLOOKUP(A145,'new Sector'!A:A,1,0)</f>
        <v>AUDITORIUM</v>
      </c>
    </row>
    <row r="146" spans="1:5" hidden="1" x14ac:dyDescent="0.3">
      <c r="A146" t="s">
        <v>289</v>
      </c>
      <c r="B146" t="e">
        <f>VLOOKUP(A146,Enrollment!A:A,1,FALSE)</f>
        <v>#N/A</v>
      </c>
      <c r="C146" t="str">
        <f>VLOOKUP(A146,Distance!A:A,1,FALSE)</f>
        <v>LEE NORVELLE THEATRE DRAMA/ NEAL&amp;MARS</v>
      </c>
      <c r="D146" t="str">
        <f>VLOOKUP(A146,Sector!A:A,1,FALSE)</f>
        <v>LEE NORVELLE THEATRE DRAMA/ NEAL&amp;MARS</v>
      </c>
      <c r="E146" t="str">
        <f>VLOOKUP(A146,'new Sector'!A:A,1,0)</f>
        <v>LEE NORVELLE THEATRE DRAMA/ NEAL&amp;MARS</v>
      </c>
    </row>
    <row r="147" spans="1:5" hidden="1" x14ac:dyDescent="0.3">
      <c r="A147" t="s">
        <v>180</v>
      </c>
      <c r="B147" t="str">
        <f>VLOOKUP(A147,Enrollment!A:A,1,FALSE)</f>
        <v>IU CINEMA</v>
      </c>
      <c r="C147" t="str">
        <f>VLOOKUP(A147,Distance!A:A,1,FALSE)</f>
        <v>IU CINEMA</v>
      </c>
      <c r="D147" t="str">
        <f>VLOOKUP(A147,Sector!A:A,1,FALSE)</f>
        <v>IU CINEMA</v>
      </c>
      <c r="E147" t="str">
        <f>VLOOKUP(A147,'new Sector'!A:A,1,0)</f>
        <v>IU CINEMA</v>
      </c>
    </row>
    <row r="148" spans="1:5" hidden="1" x14ac:dyDescent="0.3">
      <c r="A148" t="s">
        <v>103</v>
      </c>
      <c r="B148" t="str">
        <f>VLOOKUP(A148,Enrollment!A:A,1,FALSE)</f>
        <v>MUSICAL ARTS CENTER</v>
      </c>
      <c r="C148" t="str">
        <f>VLOOKUP(A148,Distance!A:A,1,FALSE)</f>
        <v>MUSICAL ARTS CENTER</v>
      </c>
      <c r="D148" t="str">
        <f>VLOOKUP(A148,Sector!A:A,1,FALSE)</f>
        <v>MUSICAL ARTS CENTER</v>
      </c>
      <c r="E148" t="str">
        <f>VLOOKUP(A148,'new Sector'!A:A,1,0)</f>
        <v>MUSICAL ARTS CENTER</v>
      </c>
    </row>
    <row r="149" spans="1:5" hidden="1" x14ac:dyDescent="0.3">
      <c r="A149" t="s">
        <v>290</v>
      </c>
      <c r="B149" t="e">
        <f>VLOOKUP(A149,Enrollment!A:A,1,FALSE)</f>
        <v>#N/A</v>
      </c>
      <c r="C149" t="str">
        <f>VLOOKUP(A149,Distance!A:A,1,FALSE)</f>
        <v>MAC MACHINE ROOM 100</v>
      </c>
      <c r="D149" t="str">
        <f>VLOOKUP(A149,Sector!A:A,1,FALSE)</f>
        <v>MAC MACHINE ROOM 100</v>
      </c>
      <c r="E149" t="str">
        <f>VLOOKUP(A149,'new Sector'!A:A,1,0)</f>
        <v>MAC MACHINE ROOM 100</v>
      </c>
    </row>
    <row r="150" spans="1:5" hidden="1" x14ac:dyDescent="0.3">
      <c r="A150" t="s">
        <v>13</v>
      </c>
      <c r="B150" t="str">
        <f>VLOOKUP(A150,Enrollment!A:A,1,FALSE)</f>
        <v>SIMON MSC LBR REC</v>
      </c>
      <c r="C150" t="str">
        <f>VLOOKUP(A150,Distance!A:A,1,FALSE)</f>
        <v>SIMON MSC LBR REC</v>
      </c>
      <c r="D150" t="str">
        <f>VLOOKUP(A150,Sector!A:A,1,FALSE)</f>
        <v>SIMON MSC LBR REC</v>
      </c>
      <c r="E150" t="str">
        <f>VLOOKUP(A150,'new Sector'!A:A,1,0)</f>
        <v>SIMON MSC LBR REC</v>
      </c>
    </row>
    <row r="151" spans="1:5" hidden="1" x14ac:dyDescent="0.3">
      <c r="A151" t="s">
        <v>291</v>
      </c>
      <c r="B151" t="e">
        <f>VLOOKUP(A151,Enrollment!A:A,1,FALSE)</f>
        <v>#N/A</v>
      </c>
      <c r="C151" t="str">
        <f>VLOOKUP(A151,Distance!A:A,1,FALSE)</f>
        <v>1815 E ATWATER AVE</v>
      </c>
      <c r="D151" t="e">
        <f>VLOOKUP(A151,Sector!A:A,1,FALSE)</f>
        <v>#N/A</v>
      </c>
      <c r="E151" t="str">
        <f>VLOOKUP(A151,'new Sector'!A:A,1,0)</f>
        <v>1815 E ATWATER AVE</v>
      </c>
    </row>
    <row r="152" spans="1:5" hidden="1" x14ac:dyDescent="0.3">
      <c r="A152" t="s">
        <v>292</v>
      </c>
      <c r="B152" t="e">
        <f>VLOOKUP(A152,Enrollment!A:A,1,FALSE)</f>
        <v>#N/A</v>
      </c>
      <c r="C152" t="str">
        <f>VLOOKUP(A152,Distance!A:A,1,FALSE)</f>
        <v>ESKENAZI SCHL / MIES VAN DER ROHE BLDG</v>
      </c>
      <c r="D152" t="str">
        <f>VLOOKUP(A152,Sector!A:A,1,FALSE)</f>
        <v>ESKENAZI SCHL / MIES VAN DER ROHE BLDG</v>
      </c>
      <c r="E152" t="str">
        <f>VLOOKUP(A152,'new Sector'!A:A,1,0)</f>
        <v>ESKENAZI SCHL / MIES VAN DER ROHE BLDG</v>
      </c>
    </row>
    <row r="153" spans="1:5" hidden="1" x14ac:dyDescent="0.3">
      <c r="A153" t="s">
        <v>4</v>
      </c>
      <c r="B153" t="str">
        <f>VLOOKUP(A153,Enrollment!A:A,1,FALSE)</f>
        <v>GLOBAL &amp; INTL STUDIES BLDG</v>
      </c>
      <c r="C153" t="str">
        <f>VLOOKUP(A153,Distance!A:A,1,FALSE)</f>
        <v>GLOBAL &amp; INTL STUDIES BLDG</v>
      </c>
      <c r="D153" t="str">
        <f>VLOOKUP(A153,Sector!A:A,1,FALSE)</f>
        <v>GLOBAL &amp; INTL STUDIES BLDG</v>
      </c>
      <c r="E153" t="str">
        <f>VLOOKUP(A153,'new Sector'!A:A,1,0)</f>
        <v>GLOBAL &amp; INTL STUDIES BLDG</v>
      </c>
    </row>
    <row r="154" spans="1:5" hidden="1" x14ac:dyDescent="0.3">
      <c r="A154" t="s">
        <v>293</v>
      </c>
      <c r="B154" t="e">
        <f>VLOOKUP(A154,Enrollment!A:A,1,FALSE)</f>
        <v>#N/A</v>
      </c>
      <c r="C154" t="str">
        <f>VLOOKUP(A154,Distance!A:A,1,FALSE)</f>
        <v>316 N EAGLESON AVE</v>
      </c>
      <c r="D154" t="str">
        <f>VLOOKUP(A154,Sector!A:A,1,FALSE)</f>
        <v>316 N EAGLESON AVE</v>
      </c>
      <c r="E154" t="str">
        <f>VLOOKUP(A154,'new Sector'!A:A,1,0)</f>
        <v>316 N EAGLESON AVE</v>
      </c>
    </row>
    <row r="155" spans="1:5" hidden="1" x14ac:dyDescent="0.3">
      <c r="A155" t="s">
        <v>294</v>
      </c>
      <c r="B155" t="e">
        <f>VLOOKUP(A155,Enrollment!A:A,1,FALSE)</f>
        <v>#N/A</v>
      </c>
      <c r="C155" t="str">
        <f>VLOOKUP(A155,Distance!A:A,1,FALSE)</f>
        <v>300 N EAGLESON AVE</v>
      </c>
      <c r="D155" t="str">
        <f>VLOOKUP(A155,Sector!A:A,1,FALSE)</f>
        <v>300 N EAGLESON AVE</v>
      </c>
      <c r="E155" t="str">
        <f>VLOOKUP(A155,'new Sector'!A:A,1,0)</f>
        <v>300 N EAGLESON AVE</v>
      </c>
    </row>
    <row r="156" spans="1:5" hidden="1" x14ac:dyDescent="0.3">
      <c r="A156" t="s">
        <v>295</v>
      </c>
      <c r="B156" t="e">
        <f>VLOOKUP(A156,Enrollment!A:A,1,FALSE)</f>
        <v>#N/A</v>
      </c>
      <c r="C156" t="str">
        <f>VLOOKUP(A156,Distance!A:A,1,FALSE)</f>
        <v>EAST PARKING GARAGE</v>
      </c>
      <c r="D156" t="str">
        <f>VLOOKUP(A156,Sector!A:A,1,FALSE)</f>
        <v>EAST PARKING GARAGE</v>
      </c>
      <c r="E156" t="str">
        <f>VLOOKUP(A156,'new Sector'!A:A,1,0)</f>
        <v>EAST PARKING GARAGE</v>
      </c>
    </row>
    <row r="157" spans="1:5" hidden="1" x14ac:dyDescent="0.3">
      <c r="A157" t="s">
        <v>296</v>
      </c>
      <c r="B157" t="e">
        <f>VLOOKUP(A157,Enrollment!A:A,1,FALSE)</f>
        <v>#N/A</v>
      </c>
      <c r="C157" t="str">
        <f>VLOOKUP(A157,Distance!A:A,1,FALSE)</f>
        <v>BICENTENNIAL CARILLON</v>
      </c>
      <c r="D157" t="str">
        <f>VLOOKUP(A157,Sector!A:A,1,FALSE)</f>
        <v>BICENTENNIAL CARILLON</v>
      </c>
      <c r="E157" t="str">
        <f>VLOOKUP(A157,'new Sector'!A:A,1,0)</f>
        <v>BICENTENNIAL CARILLON</v>
      </c>
    </row>
    <row r="158" spans="1:5" hidden="1" x14ac:dyDescent="0.3">
      <c r="A158" t="s">
        <v>297</v>
      </c>
      <c r="B158" t="e">
        <f>VLOOKUP(A158,Enrollment!A:A,1,FALSE)</f>
        <v>#N/A</v>
      </c>
      <c r="C158" t="str">
        <f>VLOOKUP(A158,Distance!A:A,1,FALSE)</f>
        <v>GAZEBO-ARBORETUM</v>
      </c>
      <c r="D158" t="e">
        <f>VLOOKUP(A158,Sector!A:A,1,FALSE)</f>
        <v>#N/A</v>
      </c>
      <c r="E158" t="str">
        <f>VLOOKUP(A158,'new Sector'!A:A,1,0)</f>
        <v>GAZEBO-ARBORETUM</v>
      </c>
    </row>
    <row r="159" spans="1:5" hidden="1" x14ac:dyDescent="0.3">
      <c r="A159" t="s">
        <v>137</v>
      </c>
      <c r="B159" t="str">
        <f>VLOOKUP(A159,Enrollment!A:A,1,FALSE)</f>
        <v>WELLS LIBRARY</v>
      </c>
      <c r="C159" t="str">
        <f>VLOOKUP(A159,Distance!A:A,1,FALSE)</f>
        <v>WELLS LIBRARY</v>
      </c>
      <c r="D159" t="e">
        <f>VLOOKUP(A159,Sector!A:A,1,FALSE)</f>
        <v>#N/A</v>
      </c>
      <c r="E159" t="str">
        <f>VLOOKUP(A159,'new Sector'!A:A,1,0)</f>
        <v>WELLS LIBRARY</v>
      </c>
    </row>
    <row r="160" spans="1:5" hidden="1" x14ac:dyDescent="0.3">
      <c r="A160" t="s">
        <v>298</v>
      </c>
      <c r="B160" t="e">
        <f>VLOOKUP(A160,Enrollment!A:A,1,FALSE)</f>
        <v>#N/A</v>
      </c>
      <c r="C160" t="str">
        <f>VLOOKUP(A160,Distance!A:A,1,FALSE)</f>
        <v>INTERNATIONAL CENTER</v>
      </c>
      <c r="D160" t="str">
        <f>VLOOKUP(A160,Sector!A:A,1,FALSE)</f>
        <v>INTERNATIONAL CENTER</v>
      </c>
      <c r="E160" t="str">
        <f>VLOOKUP(A160,'new Sector'!A:A,1,0)</f>
        <v>INTERNATIONAL CENTER</v>
      </c>
    </row>
    <row r="161" spans="1:5" hidden="1" x14ac:dyDescent="0.3">
      <c r="A161" t="s">
        <v>299</v>
      </c>
      <c r="B161" t="e">
        <f>VLOOKUP(A161,Enrollment!A:A,1,FALSE)</f>
        <v>#N/A</v>
      </c>
      <c r="C161" t="str">
        <f>VLOOKUP(A161,Distance!A:A,1,FALSE)</f>
        <v>330 S EASTSIDE DR</v>
      </c>
      <c r="D161" t="str">
        <f>VLOOKUP(A161,Sector!A:A,1,FALSE)</f>
        <v>330 S EASTSIDE DR</v>
      </c>
      <c r="E161" t="str">
        <f>VLOOKUP(A161,'new Sector'!A:A,1,0)</f>
        <v>330 S EASTSIDE DR</v>
      </c>
    </row>
    <row r="162" spans="1:5" hidden="1" x14ac:dyDescent="0.3">
      <c r="A162" t="s">
        <v>300</v>
      </c>
      <c r="B162" t="e">
        <f>VLOOKUP(A162,Enrollment!A:A,1,FALSE)</f>
        <v>#N/A</v>
      </c>
      <c r="C162" t="str">
        <f>VLOOKUP(A162,Distance!A:A,1,FALSE)</f>
        <v>315 S MITCHELL ST</v>
      </c>
      <c r="D162" t="str">
        <f>VLOOKUP(A162,Sector!A:A,1,FALSE)</f>
        <v>315 S MITCHELL ST</v>
      </c>
      <c r="E162" t="str">
        <f>VLOOKUP(A162,'new Sector'!A:A,1,0)</f>
        <v>315 S MITCHELL ST</v>
      </c>
    </row>
    <row r="163" spans="1:5" hidden="1" x14ac:dyDescent="0.3">
      <c r="A163" t="s">
        <v>301</v>
      </c>
      <c r="B163" t="e">
        <f>VLOOKUP(A163,Enrollment!A:A,1,FALSE)</f>
        <v>#N/A</v>
      </c>
      <c r="C163" t="str">
        <f>VLOOKUP(A163,Distance!A:A,1,FALSE)</f>
        <v>319 S MITCHELL ST</v>
      </c>
      <c r="D163" t="str">
        <f>VLOOKUP(A163,Sector!A:A,1,FALSE)</f>
        <v>319 S MITCHELL ST</v>
      </c>
      <c r="E163" t="str">
        <f>VLOOKUP(A163,'new Sector'!A:A,1,0)</f>
        <v>319 S MITCHELL ST</v>
      </c>
    </row>
    <row r="164" spans="1:5" hidden="1" x14ac:dyDescent="0.3">
      <c r="A164" t="s">
        <v>302</v>
      </c>
      <c r="B164" t="e">
        <f>VLOOKUP(A164,Enrollment!A:A,1,FALSE)</f>
        <v>#N/A</v>
      </c>
      <c r="C164" t="str">
        <f>VLOOKUP(A164,Distance!A:A,1,FALSE)</f>
        <v>UNIVERSITY APT EAST</v>
      </c>
      <c r="D164" t="str">
        <f>VLOOKUP(A164,Sector!A:A,1,FALSE)</f>
        <v>UNIVERSITY APT EAST</v>
      </c>
      <c r="E164" t="str">
        <f>VLOOKUP(A164,'new Sector'!A:A,1,0)</f>
        <v>UNIVERSITY APT EAST</v>
      </c>
    </row>
    <row r="165" spans="1:5" hidden="1" x14ac:dyDescent="0.3">
      <c r="A165" t="s">
        <v>303</v>
      </c>
      <c r="B165" t="e">
        <f>VLOOKUP(A165,Enrollment!A:A,1,FALSE)</f>
        <v>#N/A</v>
      </c>
      <c r="C165" t="str">
        <f>VLOOKUP(A165,Distance!A:A,1,FALSE)</f>
        <v>1514 E 3RD ST</v>
      </c>
      <c r="D165" t="str">
        <f>VLOOKUP(A165,Sector!A:A,1,FALSE)</f>
        <v>1514 E 3RD ST</v>
      </c>
      <c r="E165" t="str">
        <f>VLOOKUP(A165,'new Sector'!A:A,1,0)</f>
        <v>1514 E 3RD ST</v>
      </c>
    </row>
    <row r="166" spans="1:5" hidden="1" x14ac:dyDescent="0.3">
      <c r="A166" t="s">
        <v>304</v>
      </c>
      <c r="B166" t="e">
        <f>VLOOKUP(A166,Enrollment!A:A,1,FALSE)</f>
        <v>#N/A</v>
      </c>
      <c r="C166" t="str">
        <f>VLOOKUP(A166,Distance!A:A,1,FALSE)</f>
        <v>1600 E 3RD ST</v>
      </c>
      <c r="D166" t="str">
        <f>VLOOKUP(A166,Sector!A:A,1,FALSE)</f>
        <v>1600 E 3RD ST</v>
      </c>
      <c r="E166" t="str">
        <f>VLOOKUP(A166,'new Sector'!A:A,1,0)</f>
        <v>1600 E 3RD ST</v>
      </c>
    </row>
    <row r="167" spans="1:5" hidden="1" x14ac:dyDescent="0.3">
      <c r="A167" t="s">
        <v>305</v>
      </c>
      <c r="B167" t="e">
        <f>VLOOKUP(A167,Enrollment!A:A,1,FALSE)</f>
        <v>#N/A</v>
      </c>
      <c r="C167" t="str">
        <f>VLOOKUP(A167,Distance!A:A,1,FALSE)</f>
        <v>1610 E 3RD ST</v>
      </c>
      <c r="D167" t="str">
        <f>VLOOKUP(A167,Sector!A:A,1,FALSE)</f>
        <v>1610 E 3RD ST</v>
      </c>
      <c r="E167" t="str">
        <f>VLOOKUP(A167,'new Sector'!A:A,1,0)</f>
        <v>1610 E 3RD ST</v>
      </c>
    </row>
    <row r="168" spans="1:5" hidden="1" x14ac:dyDescent="0.3">
      <c r="A168" t="s">
        <v>306</v>
      </c>
      <c r="B168" t="e">
        <f>VLOOKUP(A168,Enrollment!A:A,1,FALSE)</f>
        <v>#N/A</v>
      </c>
      <c r="C168" t="str">
        <f>VLOOKUP(A168,Distance!A:A,1,FALSE)</f>
        <v>1610 E 3RD ST GARAGE</v>
      </c>
      <c r="D168" t="str">
        <f>VLOOKUP(A168,Sector!A:A,1,FALSE)</f>
        <v>1610 E 3RD ST GARAGE</v>
      </c>
      <c r="E168" t="str">
        <f>VLOOKUP(A168,'new Sector'!A:A,1,0)</f>
        <v>1610 E 3RD ST GARAGE</v>
      </c>
    </row>
    <row r="169" spans="1:5" hidden="1" x14ac:dyDescent="0.3">
      <c r="A169" t="s">
        <v>115</v>
      </c>
      <c r="B169" t="str">
        <f>VLOOKUP(A169,Enrollment!A:A,1,FALSE)</f>
        <v>READ HALL</v>
      </c>
      <c r="C169" t="str">
        <f>VLOOKUP(A169,Distance!A:A,1,FALSE)</f>
        <v>READ HALL</v>
      </c>
      <c r="D169" t="str">
        <f>VLOOKUP(A169,Sector!A:A,1,FALSE)</f>
        <v>READ HALL</v>
      </c>
      <c r="E169" t="str">
        <f>VLOOKUP(A169,'new Sector'!A:A,1,0)</f>
        <v>READ HALL</v>
      </c>
    </row>
    <row r="170" spans="1:5" hidden="1" x14ac:dyDescent="0.3">
      <c r="A170" t="s">
        <v>307</v>
      </c>
      <c r="B170" t="e">
        <f>VLOOKUP(A170,Enrollment!A:A,1,FALSE)</f>
        <v>#N/A</v>
      </c>
      <c r="C170" t="str">
        <f>VLOOKUP(A170,Distance!A:A,1,FALSE)</f>
        <v>1708 E 3RD ST</v>
      </c>
      <c r="D170" t="str">
        <f>VLOOKUP(A170,Sector!A:A,1,FALSE)</f>
        <v>1708 E 3RD ST</v>
      </c>
      <c r="E170" t="str">
        <f>VLOOKUP(A170,'new Sector'!A:A,1,0)</f>
        <v>1708 E 3RD ST</v>
      </c>
    </row>
    <row r="171" spans="1:5" hidden="1" x14ac:dyDescent="0.3">
      <c r="A171" t="s">
        <v>308</v>
      </c>
      <c r="B171" t="e">
        <f>VLOOKUP(A171,Enrollment!A:A,1,FALSE)</f>
        <v>#N/A</v>
      </c>
      <c r="C171" t="str">
        <f>VLOOKUP(A171,Distance!A:A,1,FALSE)</f>
        <v>401 S EASTSIDE DR</v>
      </c>
      <c r="D171" t="e">
        <f>VLOOKUP(A171,Sector!A:A,1,FALSE)</f>
        <v>#N/A</v>
      </c>
      <c r="E171" t="str">
        <f>VLOOKUP(A171,'new Sector'!A:A,1,0)</f>
        <v>401 S EASTSIDE DR</v>
      </c>
    </row>
    <row r="172" spans="1:5" hidden="1" x14ac:dyDescent="0.3">
      <c r="A172" t="s">
        <v>141</v>
      </c>
      <c r="B172" t="str">
        <f>VLOOKUP(A172,Enrollment!A:A,1,FALSE)</f>
        <v>WRIGHT QUAD</v>
      </c>
      <c r="C172" t="str">
        <f>VLOOKUP(A172,Distance!A:A,1,FALSE)</f>
        <v>WRIGHT QUAD</v>
      </c>
      <c r="D172" t="str">
        <f>VLOOKUP(A172,Sector!A:A,1,FALSE)</f>
        <v>WRIGHT QUAD</v>
      </c>
      <c r="E172" t="str">
        <f>VLOOKUP(A172,'new Sector'!A:A,1,0)</f>
        <v>WRIGHT QUAD</v>
      </c>
    </row>
    <row r="173" spans="1:5" hidden="1" x14ac:dyDescent="0.3">
      <c r="A173" t="s">
        <v>130</v>
      </c>
      <c r="B173" t="str">
        <f>VLOOKUP(A173,Enrollment!A:A,1,FALSE)</f>
        <v>TETER QUAD</v>
      </c>
      <c r="C173" t="str">
        <f>VLOOKUP(A173,Distance!A:A,1,FALSE)</f>
        <v>TETER QUAD</v>
      </c>
      <c r="D173" t="str">
        <f>VLOOKUP(A173,Sector!A:A,1,FALSE)</f>
        <v>TETER QUAD</v>
      </c>
      <c r="E173" t="str">
        <f>VLOOKUP(A173,'new Sector'!A:A,1,0)</f>
        <v>TETER QUAD</v>
      </c>
    </row>
    <row r="174" spans="1:5" hidden="1" x14ac:dyDescent="0.3">
      <c r="A174" t="s">
        <v>17</v>
      </c>
      <c r="B174" t="str">
        <f>VLOOKUP(A174,Enrollment!A:A,1,FALSE)</f>
        <v>WENDELL W. WRIGHT</v>
      </c>
      <c r="C174" t="str">
        <f>VLOOKUP(A174,Distance!A:A,1,FALSE)</f>
        <v>WENDELL W. WRIGHT</v>
      </c>
      <c r="D174" t="str">
        <f>VLOOKUP(A174,Sector!A:A,1,FALSE)</f>
        <v>WENDELL W. WRIGHT</v>
      </c>
      <c r="E174" t="str">
        <f>VLOOKUP(A174,'new Sector'!A:A,1,0)</f>
        <v>WENDELL W. WRIGHT</v>
      </c>
    </row>
    <row r="175" spans="1:5" x14ac:dyDescent="0.3">
      <c r="A175" t="s">
        <v>309</v>
      </c>
      <c r="B175" t="e">
        <f>VLOOKUP(A175,Enrollment!A:A,1,FALSE)</f>
        <v>#N/A</v>
      </c>
      <c r="C175" t="str">
        <f>VLOOKUP(A175,Distance!A:A,1,FALSE)</f>
        <v>325 S ARBUTUS DR</v>
      </c>
      <c r="D175" t="e">
        <f>VLOOKUP(A175,Sector!A:A,1,FALSE)</f>
        <v>#N/A</v>
      </c>
      <c r="E175" t="e">
        <f>VLOOKUP(A175,'new Sector'!A:A,1,0)</f>
        <v>#N/A</v>
      </c>
    </row>
    <row r="176" spans="1:5" hidden="1" x14ac:dyDescent="0.3">
      <c r="A176" t="s">
        <v>71</v>
      </c>
      <c r="B176" t="str">
        <f>VLOOKUP(A176,Enrollment!A:A,1,FALSE)</f>
        <v>FOREST QUAD</v>
      </c>
      <c r="C176" t="str">
        <f>VLOOKUP(A176,Distance!A:A,1,FALSE)</f>
        <v>FOREST QUAD</v>
      </c>
      <c r="D176" t="str">
        <f>VLOOKUP(A176,Sector!A:A,1,FALSE)</f>
        <v>FOREST QUAD</v>
      </c>
      <c r="E176" t="str">
        <f>VLOOKUP(A176,'new Sector'!A:A,1,0)</f>
        <v>FOREST QUAD</v>
      </c>
    </row>
    <row r="177" spans="1:5" hidden="1" x14ac:dyDescent="0.3">
      <c r="A177" t="s">
        <v>310</v>
      </c>
      <c r="B177" t="e">
        <f>VLOOKUP(A177,Enrollment!A:A,1,FALSE)</f>
        <v>#N/A</v>
      </c>
      <c r="C177" t="str">
        <f>VLOOKUP(A177,Distance!A:A,1,FALSE)</f>
        <v>FOREST QUAD CHILLER</v>
      </c>
      <c r="D177" t="str">
        <f>VLOOKUP(A177,Sector!A:A,1,FALSE)</f>
        <v>FOREST QUAD CHILLER</v>
      </c>
      <c r="E177" t="str">
        <f>VLOOKUP(A177,'new Sector'!A:A,1,0)</f>
        <v>FOREST QUAD CHILLER</v>
      </c>
    </row>
    <row r="178" spans="1:5" hidden="1" x14ac:dyDescent="0.3">
      <c r="A178" t="s">
        <v>311</v>
      </c>
      <c r="B178" t="e">
        <f>VLOOKUP(A178,Enrollment!A:A,1,FALSE)</f>
        <v>#N/A</v>
      </c>
      <c r="C178" t="str">
        <f>VLOOKUP(A178,Distance!A:A,1,FALSE)</f>
        <v>1812 E 3RD ST</v>
      </c>
      <c r="D178" t="str">
        <f>VLOOKUP(A178,Sector!A:A,1,FALSE)</f>
        <v>1812 E 3RD ST</v>
      </c>
      <c r="E178" t="str">
        <f>VLOOKUP(A178,'new Sector'!A:A,1,0)</f>
        <v>1812 E 3RD ST</v>
      </c>
    </row>
    <row r="179" spans="1:5" hidden="1" x14ac:dyDescent="0.3">
      <c r="A179" t="s">
        <v>312</v>
      </c>
      <c r="B179" t="e">
        <f>VLOOKUP(A179,Enrollment!A:A,1,FALSE)</f>
        <v>#N/A</v>
      </c>
      <c r="C179" t="str">
        <f>VLOOKUP(A179,Distance!A:A,1,FALSE)</f>
        <v>HERSHEY HALL</v>
      </c>
      <c r="D179" t="str">
        <f>VLOOKUP(A179,Sector!A:A,1,FALSE)</f>
        <v>HERSHEY HALL</v>
      </c>
      <c r="E179" t="str">
        <f>VLOOKUP(A179,'new Sector'!A:A,1,0)</f>
        <v>HERSHEY HALL</v>
      </c>
    </row>
    <row r="180" spans="1:5" hidden="1" x14ac:dyDescent="0.3">
      <c r="A180" t="s">
        <v>313</v>
      </c>
      <c r="B180" t="e">
        <f>VLOOKUP(A180,Enrollment!A:A,1,FALSE)</f>
        <v>#N/A</v>
      </c>
      <c r="C180" t="str">
        <f>VLOOKUP(A180,Distance!A:A,1,FALSE)</f>
        <v>JOHNSTON HALL</v>
      </c>
      <c r="D180" t="str">
        <f>VLOOKUP(A180,Sector!A:A,1,FALSE)</f>
        <v>JOHNSTON HALL</v>
      </c>
      <c r="E180" t="str">
        <f>VLOOKUP(A180,'new Sector'!A:A,1,0)</f>
        <v>JOHNSTON HALL</v>
      </c>
    </row>
    <row r="181" spans="1:5" hidden="1" x14ac:dyDescent="0.3">
      <c r="A181" t="s">
        <v>314</v>
      </c>
      <c r="B181" t="e">
        <f>VLOOKUP(A181,Enrollment!A:A,1,FALSE)</f>
        <v>#N/A</v>
      </c>
      <c r="C181" t="str">
        <f>VLOOKUP(A181,Distance!A:A,1,FALSE)</f>
        <v>VOS HALL</v>
      </c>
      <c r="D181" t="str">
        <f>VLOOKUP(A181,Sector!A:A,1,FALSE)</f>
        <v>VOS HALL</v>
      </c>
      <c r="E181" t="str">
        <f>VLOOKUP(A181,'new Sector'!A:A,1,0)</f>
        <v>VOS HALL</v>
      </c>
    </row>
    <row r="182" spans="1:5" hidden="1" x14ac:dyDescent="0.3">
      <c r="A182" t="s">
        <v>315</v>
      </c>
      <c r="B182" t="e">
        <f>VLOOKUP(A182,Enrollment!A:A,1,FALSE)</f>
        <v>#N/A</v>
      </c>
      <c r="C182" t="str">
        <f>VLOOKUP(A182,Distance!A:A,1,FALSE)</f>
        <v>HICKORY HALL</v>
      </c>
      <c r="D182" t="str">
        <f>VLOOKUP(A182,Sector!A:A,1,FALSE)</f>
        <v>HICKORY HALL</v>
      </c>
      <c r="E182" t="str">
        <f>VLOOKUP(A182,'new Sector'!A:A,1,0)</f>
        <v>HICKORY HALL</v>
      </c>
    </row>
    <row r="183" spans="1:5" hidden="1" x14ac:dyDescent="0.3">
      <c r="A183" t="s">
        <v>316</v>
      </c>
      <c r="B183" t="e">
        <f>VLOOKUP(A183,Enrollment!A:A,1,FALSE)</f>
        <v>#N/A</v>
      </c>
      <c r="C183" t="str">
        <f>VLOOKUP(A183,Distance!A:A,1,FALSE)</f>
        <v>BIRCH HALL</v>
      </c>
      <c r="D183" t="str">
        <f>VLOOKUP(A183,Sector!A:A,1,FALSE)</f>
        <v>BIRCH HALL</v>
      </c>
      <c r="E183" t="str">
        <f>VLOOKUP(A183,'new Sector'!A:A,1,0)</f>
        <v>BIRCH HALL</v>
      </c>
    </row>
    <row r="184" spans="1:5" hidden="1" x14ac:dyDescent="0.3">
      <c r="A184" t="s">
        <v>52</v>
      </c>
      <c r="B184" t="str">
        <f>VLOOKUP(A184,Enrollment!A:A,1,FALSE)</f>
        <v>CEDAR HALL</v>
      </c>
      <c r="C184" t="str">
        <f>VLOOKUP(A184,Distance!A:A,1,FALSE)</f>
        <v>CEDAR HALL</v>
      </c>
      <c r="D184" t="str">
        <f>VLOOKUP(A184,Sector!A:A,1,FALSE)</f>
        <v>CEDAR HALL</v>
      </c>
      <c r="E184" t="str">
        <f>VLOOKUP(A184,'new Sector'!A:A,1,0)</f>
        <v>CEDAR HALL</v>
      </c>
    </row>
    <row r="185" spans="1:5" hidden="1" x14ac:dyDescent="0.3">
      <c r="A185" t="s">
        <v>317</v>
      </c>
      <c r="B185" t="e">
        <f>VLOOKUP(A185,Enrollment!A:A,1,FALSE)</f>
        <v>#N/A</v>
      </c>
      <c r="C185" t="str">
        <f>VLOOKUP(A185,Distance!A:A,1,FALSE)</f>
        <v>LINDEN HALL</v>
      </c>
      <c r="D185" t="str">
        <f>VLOOKUP(A185,Sector!A:A,1,FALSE)</f>
        <v>LINDEN HALL</v>
      </c>
      <c r="E185" t="str">
        <f>VLOOKUP(A185,'new Sector'!A:A,1,0)</f>
        <v>LINDEN HALL</v>
      </c>
    </row>
    <row r="186" spans="1:5" hidden="1" x14ac:dyDescent="0.3">
      <c r="A186" t="s">
        <v>318</v>
      </c>
      <c r="B186" t="e">
        <f>VLOOKUP(A186,Enrollment!A:A,1,FALSE)</f>
        <v>#N/A</v>
      </c>
      <c r="C186" t="str">
        <f>VLOOKUP(A186,Distance!A:A,1,FALSE)</f>
        <v>CYPRESS HALL</v>
      </c>
      <c r="D186" t="e">
        <f>VLOOKUP(A186,Sector!A:A,1,FALSE)</f>
        <v>#N/A</v>
      </c>
      <c r="E186" t="str">
        <f>VLOOKUP(A186,'new Sector'!A:A,1,0)</f>
        <v>CYPRESS HALL</v>
      </c>
    </row>
    <row r="187" spans="1:5" hidden="1" x14ac:dyDescent="0.3">
      <c r="A187" t="s">
        <v>319</v>
      </c>
      <c r="B187" t="e">
        <f>VLOOKUP(A187,Enrollment!A:A,1,FALSE)</f>
        <v>#N/A</v>
      </c>
      <c r="C187" t="str">
        <f>VLOOKUP(A187,Distance!A:A,1,FALSE)</f>
        <v>BEECH HALL</v>
      </c>
      <c r="D187" t="str">
        <f>VLOOKUP(A187,Sector!A:A,1,FALSE)</f>
        <v>BEECH HALL</v>
      </c>
      <c r="E187" t="str">
        <f>VLOOKUP(A187,'new Sector'!A:A,1,0)</f>
        <v>BEECH HALL</v>
      </c>
    </row>
    <row r="188" spans="1:5" hidden="1" x14ac:dyDescent="0.3">
      <c r="A188" t="s">
        <v>320</v>
      </c>
      <c r="B188" t="e">
        <f>VLOOKUP(A188,Enrollment!A:A,1,FALSE)</f>
        <v>#N/A</v>
      </c>
      <c r="C188" t="str">
        <f>VLOOKUP(A188,Distance!A:A,1,FALSE)</f>
        <v>PINE HALL</v>
      </c>
      <c r="D188" t="e">
        <f>VLOOKUP(A188,Sector!A:A,1,FALSE)</f>
        <v>#N/A</v>
      </c>
      <c r="E188" t="str">
        <f>VLOOKUP(A188,'new Sector'!A:A,1,0)</f>
        <v>PINE HALL</v>
      </c>
    </row>
    <row r="189" spans="1:5" hidden="1" x14ac:dyDescent="0.3">
      <c r="A189" t="s">
        <v>321</v>
      </c>
      <c r="B189" t="e">
        <f>VLOOKUP(A189,Enrollment!A:A,1,FALSE)</f>
        <v>#N/A</v>
      </c>
      <c r="C189" t="str">
        <f>VLOOKUP(A189,Distance!A:A,1,FALSE)</f>
        <v>UNION ST CHILLER</v>
      </c>
      <c r="D189" t="str">
        <f>VLOOKUP(A189,Sector!A:A,1,FALSE)</f>
        <v>UNION ST CHILLER</v>
      </c>
      <c r="E189" t="str">
        <f>VLOOKUP(A189,'new Sector'!A:A,1,0)</f>
        <v>UNION ST CHILLER</v>
      </c>
    </row>
    <row r="190" spans="1:5" hidden="1" x14ac:dyDescent="0.3">
      <c r="A190" t="s">
        <v>322</v>
      </c>
      <c r="B190" t="e">
        <f>VLOOKUP(A190,Enrollment!A:A,1,FALSE)</f>
        <v>#N/A</v>
      </c>
      <c r="C190" t="str">
        <f>VLOOKUP(A190,Distance!A:A,1,FALSE)</f>
        <v>MOFFAT HALL</v>
      </c>
      <c r="D190" t="str">
        <f>VLOOKUP(A190,Sector!A:A,1,FALSE)</f>
        <v>MOFFAT HALL</v>
      </c>
      <c r="E190" t="str">
        <f>VLOOKUP(A190,'new Sector'!A:A,1,0)</f>
        <v>MOFFAT HALL</v>
      </c>
    </row>
    <row r="191" spans="1:5" hidden="1" x14ac:dyDescent="0.3">
      <c r="A191" t="s">
        <v>323</v>
      </c>
      <c r="B191" t="e">
        <f>VLOOKUP(A191,Enrollment!A:A,1,FALSE)</f>
        <v>#N/A</v>
      </c>
      <c r="C191" t="str">
        <f>VLOOKUP(A191,Distance!A:A,1,FALSE)</f>
        <v>GRIGGS LOUNGE</v>
      </c>
      <c r="D191" t="str">
        <f>VLOOKUP(A191,Sector!A:A,1,FALSE)</f>
        <v>GRIGGS LOUNGE</v>
      </c>
      <c r="E191" t="str">
        <f>VLOOKUP(A191,'new Sector'!A:A,1,0)</f>
        <v>GRIGGS LOUNGE</v>
      </c>
    </row>
    <row r="192" spans="1:5" hidden="1" x14ac:dyDescent="0.3">
      <c r="A192" t="s">
        <v>324</v>
      </c>
      <c r="B192" t="e">
        <f>VLOOKUP(A192,Enrollment!A:A,1,FALSE)</f>
        <v>#N/A</v>
      </c>
      <c r="C192" t="str">
        <f>VLOOKUP(A192,Distance!A:A,1,FALSE)</f>
        <v>DREISER HALL</v>
      </c>
      <c r="D192" t="e">
        <f>VLOOKUP(A192,Sector!A:A,1,FALSE)</f>
        <v>#N/A</v>
      </c>
      <c r="E192" t="str">
        <f>VLOOKUP(A192,'new Sector'!A:A,1,0)</f>
        <v>DREISER HALL</v>
      </c>
    </row>
    <row r="193" spans="1:5" hidden="1" x14ac:dyDescent="0.3">
      <c r="A193" t="s">
        <v>325</v>
      </c>
      <c r="B193" t="e">
        <f>VLOOKUP(A193,Enrollment!A:A,1,FALSE)</f>
        <v>#N/A</v>
      </c>
      <c r="C193" t="str">
        <f>VLOOKUP(A193,Distance!A:A,1,FALSE)</f>
        <v>STEMPEL HALL</v>
      </c>
      <c r="D193" t="str">
        <f>VLOOKUP(A193,Sector!A:A,1,FALSE)</f>
        <v>STEMPEL HALL</v>
      </c>
      <c r="E193" t="str">
        <f>VLOOKUP(A193,'new Sector'!A:A,1,0)</f>
        <v>STEMPEL HALL</v>
      </c>
    </row>
    <row r="194" spans="1:5" hidden="1" x14ac:dyDescent="0.3">
      <c r="A194" t="s">
        <v>326</v>
      </c>
      <c r="B194" t="e">
        <f>VLOOKUP(A194,Enrollment!A:A,1,FALSE)</f>
        <v>#N/A</v>
      </c>
      <c r="C194" t="str">
        <f>VLOOKUP(A194,Distance!A:A,1,FALSE)</f>
        <v>BARNES LOUNGE</v>
      </c>
      <c r="D194" t="str">
        <f>VLOOKUP(A194,Sector!A:A,1,FALSE)</f>
        <v>BARNES LOUNGE</v>
      </c>
      <c r="E194" t="str">
        <f>VLOOKUP(A194,'new Sector'!A:A,1,0)</f>
        <v>BARNES LOUNGE</v>
      </c>
    </row>
    <row r="195" spans="1:5" hidden="1" x14ac:dyDescent="0.3">
      <c r="A195" t="s">
        <v>327</v>
      </c>
      <c r="B195" t="e">
        <f>VLOOKUP(A195,Enrollment!A:A,1,FALSE)</f>
        <v>#N/A</v>
      </c>
      <c r="C195" t="str">
        <f>VLOOKUP(A195,Distance!A:A,1,FALSE)</f>
        <v>209 S UNION ST</v>
      </c>
      <c r="D195" t="str">
        <f>VLOOKUP(A195,Sector!A:A,1,FALSE)</f>
        <v>209 S UNION ST</v>
      </c>
      <c r="E195" t="str">
        <f>VLOOKUP(A195,'new Sector'!A:A,1,0)</f>
        <v>209 S UNION ST</v>
      </c>
    </row>
    <row r="196" spans="1:5" hidden="1" x14ac:dyDescent="0.3">
      <c r="A196" t="s">
        <v>328</v>
      </c>
      <c r="B196" t="e">
        <f>VLOOKUP(A196,Enrollment!A:A,1,FALSE)</f>
        <v>#N/A</v>
      </c>
      <c r="C196" t="str">
        <f>VLOOKUP(A196,Distance!A:A,1,FALSE)</f>
        <v>211 S UNION ST</v>
      </c>
      <c r="D196" t="str">
        <f>VLOOKUP(A196,Sector!A:A,1,FALSE)</f>
        <v>211 S UNION ST</v>
      </c>
      <c r="E196" t="str">
        <f>VLOOKUP(A196,'new Sector'!A:A,1,0)</f>
        <v>211 S UNION ST</v>
      </c>
    </row>
    <row r="197" spans="1:5" hidden="1" x14ac:dyDescent="0.3">
      <c r="A197" t="s">
        <v>329</v>
      </c>
      <c r="B197" t="e">
        <f>VLOOKUP(A197,Enrollment!A:A,1,FALSE)</f>
        <v>#N/A</v>
      </c>
      <c r="C197" t="str">
        <f>VLOOKUP(A197,Distance!A:A,1,FALSE)</f>
        <v>211 S UNION GARAGE</v>
      </c>
      <c r="D197" t="e">
        <f>VLOOKUP(A197,Sector!A:A,1,FALSE)</f>
        <v>#N/A</v>
      </c>
      <c r="E197" t="str">
        <f>VLOOKUP(A197,'new Sector'!A:A,1,0)</f>
        <v>211 S UNION GARAGE</v>
      </c>
    </row>
    <row r="198" spans="1:5" hidden="1" x14ac:dyDescent="0.3">
      <c r="A198" t="s">
        <v>330</v>
      </c>
      <c r="B198" t="e">
        <f>VLOOKUP(A198,Enrollment!A:A,1,FALSE)</f>
        <v>#N/A</v>
      </c>
      <c r="C198" t="str">
        <f>VLOOKUP(A198,Distance!A:A,1,FALSE)</f>
        <v>1902 E 3RD ST</v>
      </c>
      <c r="D198" t="str">
        <f>VLOOKUP(A198,Sector!A:A,1,FALSE)</f>
        <v>1902 E 3RD ST</v>
      </c>
      <c r="E198" t="str">
        <f>VLOOKUP(A198,'new Sector'!A:A,1,0)</f>
        <v>1902 E 3RD ST</v>
      </c>
    </row>
    <row r="199" spans="1:5" hidden="1" x14ac:dyDescent="0.3">
      <c r="A199" t="s">
        <v>331</v>
      </c>
      <c r="B199" t="e">
        <f>VLOOKUP(A199,Enrollment!A:A,1,FALSE)</f>
        <v>#N/A</v>
      </c>
      <c r="C199" t="str">
        <f>VLOOKUP(A199,Distance!A:A,1,FALSE)</f>
        <v>2101 E 3RD ST</v>
      </c>
      <c r="D199" t="e">
        <f>VLOOKUP(A199,Sector!A:A,1,FALSE)</f>
        <v>#N/A</v>
      </c>
      <c r="E199" t="str">
        <f>VLOOKUP(A199,'new Sector'!A:A,1,0)</f>
        <v>2101 E 3RD ST</v>
      </c>
    </row>
    <row r="200" spans="1:5" hidden="1" x14ac:dyDescent="0.3">
      <c r="A200" t="s">
        <v>332</v>
      </c>
      <c r="B200" t="e">
        <f>VLOOKUP(A200,Enrollment!A:A,1,FALSE)</f>
        <v>#N/A</v>
      </c>
      <c r="C200" t="str">
        <f>VLOOKUP(A200,Distance!A:A,1,FALSE)</f>
        <v>2027 E 3RD ST</v>
      </c>
      <c r="D200" t="e">
        <f>VLOOKUP(A200,Sector!A:A,1,FALSE)</f>
        <v>#N/A</v>
      </c>
      <c r="E200" t="str">
        <f>VLOOKUP(A200,'new Sector'!A:A,1,0)</f>
        <v>2027 E 3RD ST</v>
      </c>
    </row>
    <row r="201" spans="1:5" hidden="1" x14ac:dyDescent="0.3">
      <c r="A201" t="s">
        <v>333</v>
      </c>
      <c r="B201" t="e">
        <f>VLOOKUP(A201,Enrollment!A:A,1,FALSE)</f>
        <v>#N/A</v>
      </c>
      <c r="C201" t="str">
        <f>VLOOKUP(A201,Distance!A:A,1,FALSE)</f>
        <v>2029 E 3RD ST</v>
      </c>
      <c r="D201" t="str">
        <f>VLOOKUP(A201,Sector!A:A,1,FALSE)</f>
        <v>2029 E 3RD ST</v>
      </c>
      <c r="E201" t="str">
        <f>VLOOKUP(A201,'new Sector'!A:A,1,0)</f>
        <v>2029 E 3RD ST</v>
      </c>
    </row>
    <row r="202" spans="1:5" hidden="1" x14ac:dyDescent="0.3">
      <c r="A202" t="s">
        <v>334</v>
      </c>
      <c r="B202" t="e">
        <f>VLOOKUP(A202,Enrollment!A:A,1,FALSE)</f>
        <v>#N/A</v>
      </c>
      <c r="C202" t="str">
        <f>VLOOKUP(A202,Distance!A:A,1,FALSE)</f>
        <v>2029 E 3RD GARAGE</v>
      </c>
      <c r="D202" t="e">
        <f>VLOOKUP(A202,Sector!A:A,1,FALSE)</f>
        <v>#N/A</v>
      </c>
      <c r="E202" t="str">
        <f>VLOOKUP(A202,'new Sector'!A:A,1,0)</f>
        <v>2029 E 3RD GARAGE</v>
      </c>
    </row>
    <row r="203" spans="1:5" hidden="1" x14ac:dyDescent="0.3">
      <c r="A203" t="s">
        <v>335</v>
      </c>
      <c r="B203" t="e">
        <f>VLOOKUP(A203,Enrollment!A:A,1,FALSE)</f>
        <v>#N/A</v>
      </c>
      <c r="C203" t="str">
        <f>VLOOKUP(A203,Distance!A:A,1,FALSE)</f>
        <v>2031 E 3RD ST</v>
      </c>
      <c r="D203" t="str">
        <f>VLOOKUP(A203,Sector!A:A,1,FALSE)</f>
        <v>2031 E 3RD ST</v>
      </c>
      <c r="E203" t="str">
        <f>VLOOKUP(A203,'new Sector'!A:A,1,0)</f>
        <v>2031 E 3RD ST</v>
      </c>
    </row>
    <row r="204" spans="1:5" hidden="1" x14ac:dyDescent="0.3">
      <c r="A204" t="s">
        <v>336</v>
      </c>
      <c r="B204" t="e">
        <f>VLOOKUP(A204,Enrollment!A:A,1,FALSE)</f>
        <v>#N/A</v>
      </c>
      <c r="C204" t="str">
        <f>VLOOKUP(A204,Distance!A:A,1,FALSE)</f>
        <v>2030 E 3RD ST</v>
      </c>
      <c r="D204" t="str">
        <f>VLOOKUP(A204,Sector!A:A,1,FALSE)</f>
        <v>2030 E 3RD ST</v>
      </c>
      <c r="E204" t="str">
        <f>VLOOKUP(A204,'new Sector'!A:A,1,0)</f>
        <v>2030 E 3RD ST</v>
      </c>
    </row>
    <row r="205" spans="1:5" hidden="1" x14ac:dyDescent="0.3">
      <c r="A205" t="s">
        <v>337</v>
      </c>
      <c r="B205" t="e">
        <f>VLOOKUP(A205,Enrollment!A:A,1,FALSE)</f>
        <v>#N/A</v>
      </c>
      <c r="C205" t="str">
        <f>VLOOKUP(A205,Distance!A:A,1,FALSE)</f>
        <v>3RD &amp; UNION APARTMENTS</v>
      </c>
      <c r="D205" t="str">
        <f>VLOOKUP(A205,Sector!A:A,1,FALSE)</f>
        <v>3RD &amp; UNION APARTMENTS</v>
      </c>
      <c r="E205" t="str">
        <f>VLOOKUP(A205,'new Sector'!A:A,1,0)</f>
        <v>3RD &amp; UNION APARTMENTS</v>
      </c>
    </row>
    <row r="206" spans="1:5" hidden="1" x14ac:dyDescent="0.3">
      <c r="A206" t="s">
        <v>338</v>
      </c>
      <c r="B206" t="e">
        <f>VLOOKUP(A206,Enrollment!A:A,1,FALSE)</f>
        <v>#N/A</v>
      </c>
      <c r="C206" t="str">
        <f>VLOOKUP(A206,Distance!A:A,1,FALSE)</f>
        <v>WILLKIE B</v>
      </c>
      <c r="D206" t="str">
        <f>VLOOKUP(A206,Sector!A:A,1,FALSE)</f>
        <v>WILLKIE B</v>
      </c>
      <c r="E206" t="str">
        <f>VLOOKUP(A206,'new Sector'!A:A,1,0)</f>
        <v>WILLKIE B</v>
      </c>
    </row>
    <row r="207" spans="1:5" hidden="1" x14ac:dyDescent="0.3">
      <c r="A207" t="s">
        <v>15</v>
      </c>
      <c r="B207" t="str">
        <f>VLOOKUP(A207,Enrollment!A:A,1,FALSE)</f>
        <v>SPRUCE HALL</v>
      </c>
      <c r="C207" t="str">
        <f>VLOOKUP(A207,Distance!A:A,1,FALSE)</f>
        <v>SPRUCE HALL</v>
      </c>
      <c r="D207" t="str">
        <f>VLOOKUP(A207,Sector!A:A,1,FALSE)</f>
        <v>SPRUCE HALL</v>
      </c>
      <c r="E207" t="str">
        <f>VLOOKUP(A207,'new Sector'!A:A,1,0)</f>
        <v>SPRUCE HALL</v>
      </c>
    </row>
    <row r="208" spans="1:5" hidden="1" x14ac:dyDescent="0.3">
      <c r="A208" t="s">
        <v>140</v>
      </c>
      <c r="B208" t="str">
        <f>VLOOKUP(A208,Enrollment!A:A,1,FALSE)</f>
        <v>WILLKIE C</v>
      </c>
      <c r="C208" t="str">
        <f>VLOOKUP(A208,Distance!A:A,1,FALSE)</f>
        <v>WILLKIE C</v>
      </c>
      <c r="D208" t="str">
        <f>VLOOKUP(A208,Sector!A:A,1,FALSE)</f>
        <v>WILLKIE C</v>
      </c>
      <c r="E208" t="str">
        <f>VLOOKUP(A208,'new Sector'!A:A,1,0)</f>
        <v>WILLKIE C</v>
      </c>
    </row>
    <row r="209" spans="1:5" hidden="1" x14ac:dyDescent="0.3">
      <c r="A209" t="s">
        <v>339</v>
      </c>
      <c r="B209" t="e">
        <f>VLOOKUP(A209,Enrollment!A:A,1,FALSE)</f>
        <v>#N/A</v>
      </c>
      <c r="C209" t="str">
        <f>VLOOKUP(A209,Distance!A:A,1,FALSE)</f>
        <v>WILLKIE A</v>
      </c>
      <c r="D209" t="str">
        <f>VLOOKUP(A209,Sector!A:A,1,FALSE)</f>
        <v>WILLKIE A</v>
      </c>
      <c r="E209" t="str">
        <f>VLOOKUP(A209,'new Sector'!A:A,1,0)</f>
        <v>WILLKIE A</v>
      </c>
    </row>
    <row r="210" spans="1:5" hidden="1" x14ac:dyDescent="0.3">
      <c r="A210" t="s">
        <v>340</v>
      </c>
      <c r="B210" t="e">
        <f>VLOOKUP(A210,Enrollment!A:A,1,FALSE)</f>
        <v>#N/A</v>
      </c>
      <c r="C210" t="str">
        <f>VLOOKUP(A210,Distance!A:A,1,FALSE)</f>
        <v>MASON HALL</v>
      </c>
      <c r="D210" t="str">
        <f>VLOOKUP(A210,Sector!A:A,1,FALSE)</f>
        <v>MASON HALL</v>
      </c>
      <c r="E210" t="str">
        <f>VLOOKUP(A210,'new Sector'!A:A,1,0)</f>
        <v>MASON HALL</v>
      </c>
    </row>
    <row r="211" spans="1:5" hidden="1" x14ac:dyDescent="0.3">
      <c r="A211" t="s">
        <v>177</v>
      </c>
      <c r="B211" t="str">
        <f>VLOOKUP(A211,Enrollment!A:A,1,FALSE)</f>
        <v>EIGENMANN HALL</v>
      </c>
      <c r="C211" t="str">
        <f>VLOOKUP(A211,Distance!A:A,1,FALSE)</f>
        <v>EIGENMANN HALL</v>
      </c>
      <c r="D211" t="str">
        <f>VLOOKUP(A211,Sector!A:A,1,FALSE)</f>
        <v>EIGENMANN HALL</v>
      </c>
      <c r="E211" t="str">
        <f>VLOOKUP(A211,'new Sector'!A:A,1,0)</f>
        <v>EIGENMANN HALL</v>
      </c>
    </row>
    <row r="212" spans="1:5" hidden="1" x14ac:dyDescent="0.3">
      <c r="A212" t="s">
        <v>341</v>
      </c>
      <c r="B212" t="e">
        <f>VLOOKUP(A212,Enrollment!A:A,1,FALSE)</f>
        <v>#N/A</v>
      </c>
      <c r="C212" t="str">
        <f>VLOOKUP(A212,Distance!A:A,1,FALSE)</f>
        <v>1901 E 10TH ST</v>
      </c>
      <c r="D212" t="str">
        <f>VLOOKUP(A212,Sector!A:A,1,FALSE)</f>
        <v>1901 E 10TH ST</v>
      </c>
      <c r="E212" t="str">
        <f>VLOOKUP(A212,'new Sector'!A:A,1,0)</f>
        <v>1901 E 10TH ST</v>
      </c>
    </row>
    <row r="213" spans="1:5" hidden="1" x14ac:dyDescent="0.3">
      <c r="A213" t="s">
        <v>126</v>
      </c>
      <c r="B213" t="str">
        <f>VLOOKUP(A213,Enrollment!A:A,1,FALSE)</f>
        <v>STUDENT SERVICES</v>
      </c>
      <c r="C213" t="str">
        <f>VLOOKUP(A213,Distance!A:A,1,FALSE)</f>
        <v>STUDENT SERVICES</v>
      </c>
      <c r="D213" t="str">
        <f>VLOOKUP(A213,Sector!A:A,1,FALSE)</f>
        <v>STUDENT SERVICES</v>
      </c>
      <c r="E213" t="str">
        <f>VLOOKUP(A213,'new Sector'!A:A,1,0)</f>
        <v>STUDENT SERVICES</v>
      </c>
    </row>
    <row r="214" spans="1:5" hidden="1" x14ac:dyDescent="0.3">
      <c r="A214" t="s">
        <v>342</v>
      </c>
      <c r="B214" t="e">
        <f>VLOOKUP(A214,Enrollment!A:A,1,FALSE)</f>
        <v>#N/A</v>
      </c>
      <c r="C214" t="str">
        <f>VLOOKUP(A214,Distance!A:A,1,FALSE)</f>
        <v>2045 E 7TH ST</v>
      </c>
      <c r="D214" t="str">
        <f>VLOOKUP(A214,Sector!A:A,1,FALSE)</f>
        <v>2045 E 7TH ST</v>
      </c>
      <c r="E214" t="str">
        <f>VLOOKUP(A214,'new Sector'!A:A,1,0)</f>
        <v>2045 E 7TH ST</v>
      </c>
    </row>
    <row r="215" spans="1:5" hidden="1" x14ac:dyDescent="0.3">
      <c r="A215" t="s">
        <v>343</v>
      </c>
      <c r="B215" t="e">
        <f>VLOOKUP(A215,Enrollment!A:A,1,FALSE)</f>
        <v>#N/A</v>
      </c>
      <c r="C215" t="str">
        <f>VLOOKUP(A215,Distance!A:A,1,FALSE)</f>
        <v>318 N UNION ST</v>
      </c>
      <c r="D215" t="str">
        <f>VLOOKUP(A215,Sector!A:A,1,FALSE)</f>
        <v>318 N UNION ST</v>
      </c>
      <c r="E215" t="str">
        <f>VLOOKUP(A215,'new Sector'!A:A,1,0)</f>
        <v>318 N UNION ST</v>
      </c>
    </row>
    <row r="216" spans="1:5" hidden="1" x14ac:dyDescent="0.3">
      <c r="A216" t="s">
        <v>344</v>
      </c>
      <c r="B216" t="e">
        <f>VLOOKUP(A216,Enrollment!A:A,1,FALSE)</f>
        <v>#N/A</v>
      </c>
      <c r="C216" t="str">
        <f>VLOOKUP(A216,Distance!A:A,1,FALSE)</f>
        <v>318 N UNION GARAGE</v>
      </c>
      <c r="D216" t="str">
        <f>VLOOKUP(A216,Sector!A:A,1,FALSE)</f>
        <v>318 N UNION GARAGE</v>
      </c>
      <c r="E216" t="str">
        <f>VLOOKUP(A216,'new Sector'!A:A,1,0)</f>
        <v>318 N UNION GARAGE</v>
      </c>
    </row>
    <row r="217" spans="1:5" hidden="1" x14ac:dyDescent="0.3">
      <c r="A217" t="s">
        <v>345</v>
      </c>
      <c r="B217" t="e">
        <f>VLOOKUP(A217,Enrollment!A:A,1,FALSE)</f>
        <v>#N/A</v>
      </c>
      <c r="C217" t="str">
        <f>VLOOKUP(A217,Distance!A:A,1,FALSE)</f>
        <v>306 N UNION ST</v>
      </c>
      <c r="D217" t="str">
        <f>VLOOKUP(A217,Sector!A:A,1,FALSE)</f>
        <v>306 N UNION ST</v>
      </c>
      <c r="E217" t="str">
        <f>VLOOKUP(A217,'new Sector'!A:A,1,0)</f>
        <v>306 N UNION ST</v>
      </c>
    </row>
    <row r="218" spans="1:5" hidden="1" x14ac:dyDescent="0.3">
      <c r="A218" t="s">
        <v>346</v>
      </c>
      <c r="B218" t="e">
        <f>VLOOKUP(A218,Enrollment!A:A,1,FALSE)</f>
        <v>#N/A</v>
      </c>
      <c r="C218" t="str">
        <f>VLOOKUP(A218,Distance!A:A,1,FALSE)</f>
        <v>2020 E 3RD ST</v>
      </c>
      <c r="D218" t="e">
        <f>VLOOKUP(A218,Sector!A:A,1,FALSE)</f>
        <v>#N/A</v>
      </c>
      <c r="E218" t="str">
        <f>VLOOKUP(A218,'new Sector'!A:A,1,0)</f>
        <v>2020 E 3RD ST</v>
      </c>
    </row>
    <row r="219" spans="1:5" x14ac:dyDescent="0.3">
      <c r="A219" t="s">
        <v>347</v>
      </c>
      <c r="B219" t="e">
        <f>VLOOKUP(A219,Enrollment!A:A,1,FALSE)</f>
        <v>#N/A</v>
      </c>
      <c r="C219" t="str">
        <f>VLOOKUP(A219,Distance!A:A,1,FALSE)</f>
        <v>200 S BRYAN AVE</v>
      </c>
      <c r="D219" t="e">
        <f>VLOOKUP(A219,Sector!A:A,1,FALSE)</f>
        <v>#N/A</v>
      </c>
      <c r="E219" t="e">
        <f>VLOOKUP(A219,'new Sector'!A:A,1,0)</f>
        <v>#N/A</v>
      </c>
    </row>
    <row r="220" spans="1:5" hidden="1" x14ac:dyDescent="0.3">
      <c r="A220" t="s">
        <v>348</v>
      </c>
      <c r="B220" t="e">
        <f>VLOOKUP(A220,Enrollment!A:A,1,FALSE)</f>
        <v>#N/A</v>
      </c>
      <c r="C220" t="str">
        <f>VLOOKUP(A220,Distance!A:A,1,FALSE)</f>
        <v>117 S UNION ST</v>
      </c>
      <c r="D220" t="str">
        <f>VLOOKUP(A220,Sector!A:A,1,FALSE)</f>
        <v>117 S UNION ST</v>
      </c>
      <c r="E220" t="str">
        <f>VLOOKUP(A220,'new Sector'!A:A,1,0)</f>
        <v>117 S UNION ST</v>
      </c>
    </row>
    <row r="221" spans="1:5" hidden="1" x14ac:dyDescent="0.3">
      <c r="A221" t="s">
        <v>349</v>
      </c>
      <c r="B221" t="e">
        <f>VLOOKUP(A221,Enrollment!A:A,1,FALSE)</f>
        <v>#N/A</v>
      </c>
      <c r="C221" t="str">
        <f>VLOOKUP(A221,Distance!A:A,1,FALSE)</f>
        <v>204 S BRYAN AVE</v>
      </c>
      <c r="D221" t="e">
        <f>VLOOKUP(A221,Sector!A:A,1,FALSE)</f>
        <v>#N/A</v>
      </c>
      <c r="E221" t="str">
        <f>VLOOKUP(A221,'new Sector'!A:A,1,0)</f>
        <v>204 S BRYAN AVE</v>
      </c>
    </row>
    <row r="222" spans="1:5" hidden="1" x14ac:dyDescent="0.3">
      <c r="A222" t="s">
        <v>350</v>
      </c>
      <c r="B222" t="e">
        <f>VLOOKUP(A222,Enrollment!A:A,1,FALSE)</f>
        <v>#N/A</v>
      </c>
      <c r="C222" t="str">
        <f>VLOOKUP(A222,Distance!A:A,1,FALSE)</f>
        <v>206 S BRYAN AVE</v>
      </c>
      <c r="D222" t="e">
        <f>VLOOKUP(A222,Sector!A:A,1,FALSE)</f>
        <v>#N/A</v>
      </c>
      <c r="E222" t="str">
        <f>VLOOKUP(A222,'new Sector'!A:A,1,0)</f>
        <v>206 S BRYAN AVE</v>
      </c>
    </row>
    <row r="223" spans="1:5" hidden="1" x14ac:dyDescent="0.3">
      <c r="A223" t="s">
        <v>351</v>
      </c>
      <c r="B223" t="e">
        <f>VLOOKUP(A223,Enrollment!A:A,1,FALSE)</f>
        <v>#N/A</v>
      </c>
      <c r="C223" t="str">
        <f>VLOOKUP(A223,Distance!A:A,1,FALSE)</f>
        <v>212 S BRYAN AVE</v>
      </c>
      <c r="D223" t="e">
        <f>VLOOKUP(A223,Sector!A:A,1,FALSE)</f>
        <v>#N/A</v>
      </c>
      <c r="E223" t="str">
        <f>VLOOKUP(A223,'new Sector'!A:A,1,0)</f>
        <v>212 S BRYAN AVE</v>
      </c>
    </row>
    <row r="224" spans="1:5" hidden="1" x14ac:dyDescent="0.3">
      <c r="A224" t="s">
        <v>352</v>
      </c>
      <c r="B224" t="e">
        <f>VLOOKUP(A224,Enrollment!A:A,1,FALSE)</f>
        <v>#N/A</v>
      </c>
      <c r="C224" t="str">
        <f>VLOOKUP(A224,Distance!A:A,1,FALSE)</f>
        <v>214 S BRYAN AVE</v>
      </c>
      <c r="D224" t="e">
        <f>VLOOKUP(A224,Sector!A:A,1,FALSE)</f>
        <v>#N/A</v>
      </c>
      <c r="E224" t="str">
        <f>VLOOKUP(A224,'new Sector'!A:A,1,0)</f>
        <v>214 S BRYAN AVE</v>
      </c>
    </row>
    <row r="225" spans="1:5" hidden="1" x14ac:dyDescent="0.3">
      <c r="A225" t="s">
        <v>353</v>
      </c>
      <c r="B225" t="e">
        <f>VLOOKUP(A225,Enrollment!A:A,1,FALSE)</f>
        <v>#N/A</v>
      </c>
      <c r="C225" t="str">
        <f>VLOOKUP(A225,Distance!A:A,1,FALSE)</f>
        <v>120 S BRYAN AVE</v>
      </c>
      <c r="D225" t="e">
        <f>VLOOKUP(A225,Sector!A:A,1,FALSE)</f>
        <v>#N/A</v>
      </c>
      <c r="E225" t="str">
        <f>VLOOKUP(A225,'new Sector'!A:A,1,0)</f>
        <v>120 S BRYAN AVE</v>
      </c>
    </row>
    <row r="226" spans="1:5" hidden="1" x14ac:dyDescent="0.3">
      <c r="A226" t="s">
        <v>354</v>
      </c>
      <c r="B226" t="e">
        <f>VLOOKUP(A226,Enrollment!A:A,1,FALSE)</f>
        <v>#N/A</v>
      </c>
      <c r="C226" t="str">
        <f>VLOOKUP(A226,Distance!A:A,1,FALSE)</f>
        <v>118 S BRYAN AVE</v>
      </c>
      <c r="D226" t="e">
        <f>VLOOKUP(A226,Sector!A:A,1,FALSE)</f>
        <v>#N/A</v>
      </c>
      <c r="E226" t="str">
        <f>VLOOKUP(A226,'new Sector'!A:A,1,0)</f>
        <v>118 S BRYAN AVE</v>
      </c>
    </row>
    <row r="227" spans="1:5" hidden="1" x14ac:dyDescent="0.3">
      <c r="A227" t="s">
        <v>355</v>
      </c>
      <c r="B227" t="e">
        <f>VLOOKUP(A227,Enrollment!A:A,1,FALSE)</f>
        <v>#N/A</v>
      </c>
      <c r="C227" t="str">
        <f>VLOOKUP(A227,Distance!A:A,1,FALSE)</f>
        <v>102 S BRYAN AVE</v>
      </c>
      <c r="D227" t="e">
        <f>VLOOKUP(A227,Sector!A:A,1,FALSE)</f>
        <v>#N/A</v>
      </c>
      <c r="E227" t="str">
        <f>VLOOKUP(A227,'new Sector'!A:A,1,0)</f>
        <v>102 S BRYAN AVE</v>
      </c>
    </row>
    <row r="228" spans="1:5" hidden="1" x14ac:dyDescent="0.3">
      <c r="A228" t="s">
        <v>356</v>
      </c>
      <c r="B228" t="e">
        <f>VLOOKUP(A228,Enrollment!A:A,1,FALSE)</f>
        <v>#N/A</v>
      </c>
      <c r="C228" t="str">
        <f>VLOOKUP(A228,Distance!A:A,1,FALSE)</f>
        <v>104 S BRYAN AVE</v>
      </c>
      <c r="D228" t="e">
        <f>VLOOKUP(A228,Sector!A:A,1,FALSE)</f>
        <v>#N/A</v>
      </c>
      <c r="E228" t="str">
        <f>VLOOKUP(A228,'new Sector'!A:A,1,0)</f>
        <v>104 S BRYAN AVE</v>
      </c>
    </row>
    <row r="229" spans="1:5" hidden="1" x14ac:dyDescent="0.3">
      <c r="A229" t="s">
        <v>357</v>
      </c>
      <c r="B229" t="e">
        <f>VLOOKUP(A229,Enrollment!A:A,1,FALSE)</f>
        <v>#N/A</v>
      </c>
      <c r="C229" t="str">
        <f>VLOOKUP(A229,Distance!A:A,1,FALSE)</f>
        <v>113 N BRYAN AVE</v>
      </c>
      <c r="D229" t="str">
        <f>VLOOKUP(A229,Sector!A:A,1,FALSE)</f>
        <v>113 N BRYAN AVE</v>
      </c>
      <c r="E229" t="str">
        <f>VLOOKUP(A229,'new Sector'!A:A,1,0)</f>
        <v>113 N BRYAN AVE</v>
      </c>
    </row>
    <row r="230" spans="1:5" hidden="1" x14ac:dyDescent="0.3">
      <c r="A230" t="s">
        <v>358</v>
      </c>
      <c r="B230" t="e">
        <f>VLOOKUP(A230,Enrollment!A:A,1,FALSE)</f>
        <v>#N/A</v>
      </c>
      <c r="C230" t="str">
        <f>VLOOKUP(A230,Distance!A:A,1,FALSE)</f>
        <v>120 N BRYAN AVE</v>
      </c>
      <c r="D230" t="str">
        <f>VLOOKUP(A230,Sector!A:A,1,FALSE)</f>
        <v>120 N BRYAN AVE</v>
      </c>
      <c r="E230" t="str">
        <f>VLOOKUP(A230,'new Sector'!A:A,1,0)</f>
        <v>120 N BRYAN AVE</v>
      </c>
    </row>
    <row r="231" spans="1:5" hidden="1" x14ac:dyDescent="0.3">
      <c r="A231" t="s">
        <v>359</v>
      </c>
      <c r="B231" t="e">
        <f>VLOOKUP(A231,Enrollment!A:A,1,FALSE)</f>
        <v>#N/A</v>
      </c>
      <c r="C231" t="str">
        <f>VLOOKUP(A231,Distance!A:A,1,FALSE)</f>
        <v>121 N BRYAN AVE</v>
      </c>
      <c r="D231" t="str">
        <f>VLOOKUP(A231,Sector!A:A,1,FALSE)</f>
        <v>121 N BRYAN AVE</v>
      </c>
      <c r="E231" t="str">
        <f>VLOOKUP(A231,'new Sector'!A:A,1,0)</f>
        <v>121 N BRYAN AVE</v>
      </c>
    </row>
    <row r="232" spans="1:5" hidden="1" x14ac:dyDescent="0.3">
      <c r="A232" t="s">
        <v>360</v>
      </c>
      <c r="B232" t="e">
        <f>VLOOKUP(A232,Enrollment!A:A,1,FALSE)</f>
        <v>#N/A</v>
      </c>
      <c r="C232" t="str">
        <f>VLOOKUP(A232,Distance!A:A,1,FALSE)</f>
        <v>AMERICAN HISTORIANS-RAINTREE HOUSE</v>
      </c>
      <c r="D232" t="str">
        <f>VLOOKUP(A232,Sector!A:A,1,FALSE)</f>
        <v>AMERICAN HISTORIANS-RAINTREE HOUSE</v>
      </c>
      <c r="E232" t="str">
        <f>VLOOKUP(A232,'new Sector'!A:A,1,0)</f>
        <v>AMERICAN HISTORIANS-RAINTREE HOUSE</v>
      </c>
    </row>
    <row r="233" spans="1:5" hidden="1" x14ac:dyDescent="0.3">
      <c r="A233" t="s">
        <v>361</v>
      </c>
      <c r="B233" t="e">
        <f>VLOOKUP(A233,Enrollment!A:A,1,FALSE)</f>
        <v>#N/A</v>
      </c>
      <c r="C233" t="str">
        <f>VLOOKUP(A233,Distance!A:A,1,FALSE)</f>
        <v>111 N BRYAN AVE</v>
      </c>
      <c r="D233" t="str">
        <f>VLOOKUP(A233,Sector!A:A,1,FALSE)</f>
        <v>111 N BRYAN AVE</v>
      </c>
      <c r="E233" t="str">
        <f>VLOOKUP(A233,'new Sector'!A:A,1,0)</f>
        <v>111 N BRYAN AVE</v>
      </c>
    </row>
    <row r="234" spans="1:5" hidden="1" x14ac:dyDescent="0.3">
      <c r="A234" t="s">
        <v>362</v>
      </c>
      <c r="B234" t="e">
        <f>VLOOKUP(A234,Enrollment!A:A,1,FALSE)</f>
        <v>#N/A</v>
      </c>
      <c r="C234" t="str">
        <f>VLOOKUP(A234,Distance!A:A,1,FALSE)</f>
        <v>2105 E 3RD ST</v>
      </c>
      <c r="D234" t="e">
        <f>VLOOKUP(A234,Sector!A:A,1,FALSE)</f>
        <v>#N/A</v>
      </c>
      <c r="E234" t="str">
        <f>VLOOKUP(A234,'new Sector'!A:A,1,0)</f>
        <v>2105 E 3RD ST</v>
      </c>
    </row>
    <row r="235" spans="1:5" hidden="1" x14ac:dyDescent="0.3">
      <c r="A235" t="s">
        <v>363</v>
      </c>
      <c r="B235" t="e">
        <f>VLOOKUP(A235,Enrollment!A:A,1,FALSE)</f>
        <v>#N/A</v>
      </c>
      <c r="C235" t="str">
        <f>VLOOKUP(A235,Distance!A:A,1,FALSE)</f>
        <v>2105 E 3RD GARAGE</v>
      </c>
      <c r="D235" t="e">
        <f>VLOOKUP(A235,Sector!A:A,1,FALSE)</f>
        <v>#N/A</v>
      </c>
      <c r="E235" t="str">
        <f>VLOOKUP(A235,'new Sector'!A:A,1,0)</f>
        <v>2105 E 3RD GARAGE</v>
      </c>
    </row>
    <row r="236" spans="1:5" hidden="1" x14ac:dyDescent="0.3">
      <c r="A236" t="s">
        <v>364</v>
      </c>
      <c r="B236" t="e">
        <f>VLOOKUP(A236,Enrollment!A:A,1,FALSE)</f>
        <v>#N/A</v>
      </c>
      <c r="C236" t="str">
        <f>VLOOKUP(A236,Distance!A:A,1,FALSE)</f>
        <v>2427 E 2ND ST</v>
      </c>
      <c r="D236" t="str">
        <f>VLOOKUP(A236,Sector!A:A,1,FALSE)</f>
        <v>2427 E 2ND ST</v>
      </c>
      <c r="E236" t="str">
        <f>VLOOKUP(A236,'new Sector'!A:A,1,0)</f>
        <v>2427 E 2ND ST</v>
      </c>
    </row>
    <row r="237" spans="1:5" hidden="1" x14ac:dyDescent="0.3">
      <c r="A237" t="s">
        <v>365</v>
      </c>
      <c r="B237" t="e">
        <f>VLOOKUP(A237,Enrollment!A:A,1,FALSE)</f>
        <v>#N/A</v>
      </c>
      <c r="C237" t="str">
        <f>VLOOKUP(A237,Distance!A:A,1,FALSE)</f>
        <v>2431 E 2ND ST</v>
      </c>
      <c r="D237" t="str">
        <f>VLOOKUP(A237,Sector!A:A,1,FALSE)</f>
        <v>2431 E 2ND ST</v>
      </c>
      <c r="E237" t="str">
        <f>VLOOKUP(A237,'new Sector'!A:A,1,0)</f>
        <v>2431 E 2ND ST</v>
      </c>
    </row>
    <row r="238" spans="1:5" hidden="1" x14ac:dyDescent="0.3">
      <c r="A238" t="s">
        <v>366</v>
      </c>
      <c r="B238" t="e">
        <f>VLOOKUP(A238,Enrollment!A:A,1,FALSE)</f>
        <v>#N/A</v>
      </c>
      <c r="C238" t="str">
        <f>VLOOKUP(A238,Distance!A:A,1,FALSE)</f>
        <v>713 E COTTAGE GR</v>
      </c>
      <c r="D238" t="e">
        <f>VLOOKUP(A238,Sector!A:A,1,FALSE)</f>
        <v>#N/A</v>
      </c>
      <c r="E238" t="str">
        <f>VLOOKUP(A238,'new Sector'!A:A,1,0)</f>
        <v>713 E COTTAGE GR</v>
      </c>
    </row>
    <row r="239" spans="1:5" hidden="1" x14ac:dyDescent="0.3">
      <c r="A239" t="s">
        <v>367</v>
      </c>
      <c r="B239" t="e">
        <f>VLOOKUP(A239,Enrollment!A:A,1,FALSE)</f>
        <v>#N/A</v>
      </c>
      <c r="C239" t="str">
        <f>VLOOKUP(A239,Distance!A:A,1,FALSE)</f>
        <v>802 E COTTAGE GROVE AVE</v>
      </c>
      <c r="D239" t="e">
        <f>VLOOKUP(A239,Sector!A:A,1,FALSE)</f>
        <v>#N/A</v>
      </c>
      <c r="E239" t="str">
        <f>VLOOKUP(A239,'new Sector'!A:A,1,0)</f>
        <v>802 E COTTAGE GROVE AVE</v>
      </c>
    </row>
    <row r="240" spans="1:5" hidden="1" x14ac:dyDescent="0.3">
      <c r="A240" t="s">
        <v>157</v>
      </c>
      <c r="B240" t="str">
        <f>VLOOKUP(A240,Enrollment!A:A,1,FALSE)</f>
        <v>HILLCREST</v>
      </c>
      <c r="C240" t="str">
        <f>VLOOKUP(A240,Distance!A:A,1,FALSE)</f>
        <v>HILLCREST</v>
      </c>
      <c r="D240" t="str">
        <f>VLOOKUP(A240,Sector!A:A,1,FALSE)</f>
        <v>HILLCREST</v>
      </c>
      <c r="E240" t="str">
        <f>VLOOKUP(A240,'new Sector'!A:A,1,0)</f>
        <v>HILLCREST</v>
      </c>
    </row>
    <row r="241" spans="1:5" hidden="1" x14ac:dyDescent="0.3">
      <c r="A241" t="s">
        <v>368</v>
      </c>
      <c r="B241" t="e">
        <f>VLOOKUP(A241,Enrollment!A:A,1,FALSE)</f>
        <v>#N/A</v>
      </c>
      <c r="C241" t="str">
        <f>VLOOKUP(A241,Distance!A:A,1,FALSE)</f>
        <v>822 E COTTAGE GROVE AVE</v>
      </c>
      <c r="D241" t="e">
        <f>VLOOKUP(A241,Sector!A:A,1,FALSE)</f>
        <v>#N/A</v>
      </c>
      <c r="E241" t="str">
        <f>VLOOKUP(A241,'new Sector'!A:A,1,0)</f>
        <v>822 E COTTAGE GROVE AVE</v>
      </c>
    </row>
    <row r="242" spans="1:5" hidden="1" x14ac:dyDescent="0.3">
      <c r="A242" t="s">
        <v>369</v>
      </c>
      <c r="B242" t="e">
        <f>VLOOKUP(A242,Enrollment!A:A,1,FALSE)</f>
        <v>#N/A</v>
      </c>
      <c r="C242" t="str">
        <f>VLOOKUP(A242,Distance!A:A,1,FALSE)</f>
        <v>815 E 10TH ST</v>
      </c>
      <c r="D242" t="e">
        <f>VLOOKUP(A242,Sector!A:A,1,FALSE)</f>
        <v>#N/A</v>
      </c>
      <c r="E242" t="str">
        <f>VLOOKUP(A242,'new Sector'!A:A,1,0)</f>
        <v>815 E 10TH ST</v>
      </c>
    </row>
    <row r="243" spans="1:5" hidden="1" x14ac:dyDescent="0.3">
      <c r="A243" t="s">
        <v>370</v>
      </c>
      <c r="B243" t="e">
        <f>VLOOKUP(A243,Enrollment!A:A,1,FALSE)</f>
        <v>#N/A</v>
      </c>
      <c r="C243" t="str">
        <f>VLOOKUP(A243,Distance!A:A,1,FALSE)</f>
        <v>ASIAN CULTURE CENTER</v>
      </c>
      <c r="D243" t="e">
        <f>VLOOKUP(A243,Sector!A:A,1,FALSE)</f>
        <v>#N/A</v>
      </c>
      <c r="E243" t="str">
        <f>VLOOKUP(A243,'new Sector'!A:A,1,0)</f>
        <v>ASIAN CULTURE CENTER</v>
      </c>
    </row>
    <row r="244" spans="1:5" hidden="1" x14ac:dyDescent="0.3">
      <c r="A244" t="s">
        <v>371</v>
      </c>
      <c r="B244" t="e">
        <f>VLOOKUP(A244,Enrollment!A:A,1,FALSE)</f>
        <v>#N/A</v>
      </c>
      <c r="C244" t="str">
        <f>VLOOKUP(A244,Distance!A:A,1,FALSE)</f>
        <v>809 E 10TH ST</v>
      </c>
      <c r="D244" t="e">
        <f>VLOOKUP(A244,Sector!A:A,1,FALSE)</f>
        <v>#N/A</v>
      </c>
      <c r="E244" t="str">
        <f>VLOOKUP(A244,'new Sector'!A:A,1,0)</f>
        <v>809 E 10TH ST</v>
      </c>
    </row>
    <row r="245" spans="1:5" hidden="1" x14ac:dyDescent="0.3">
      <c r="A245" t="s">
        <v>372</v>
      </c>
      <c r="B245" t="e">
        <f>VLOOKUP(A245,Enrollment!A:A,1,FALSE)</f>
        <v>#N/A</v>
      </c>
      <c r="C245" t="str">
        <f>VLOOKUP(A245,Distance!A:A,1,FALSE)</f>
        <v>801 E 10TH ST</v>
      </c>
      <c r="D245" t="e">
        <f>VLOOKUP(A245,Sector!A:A,1,FALSE)</f>
        <v>#N/A</v>
      </c>
      <c r="E245" t="str">
        <f>VLOOKUP(A245,'new Sector'!A:A,1,0)</f>
        <v>801 E 10TH ST</v>
      </c>
    </row>
    <row r="246" spans="1:5" hidden="1" x14ac:dyDescent="0.3">
      <c r="A246" t="s">
        <v>373</v>
      </c>
      <c r="B246" t="e">
        <f>VLOOKUP(A246,Enrollment!A:A,1,FALSE)</f>
        <v>#N/A</v>
      </c>
      <c r="C246" t="str">
        <f>VLOOKUP(A246,Distance!A:A,1,FALSE)</f>
        <v>824 E COTTAGE GROVE AVE</v>
      </c>
      <c r="D246" t="e">
        <f>VLOOKUP(A246,Sector!A:A,1,FALSE)</f>
        <v>#N/A</v>
      </c>
      <c r="E246" t="str">
        <f>VLOOKUP(A246,'new Sector'!A:A,1,0)</f>
        <v>824 E COTTAGE GROVE AVE</v>
      </c>
    </row>
    <row r="247" spans="1:5" hidden="1" x14ac:dyDescent="0.3">
      <c r="A247" t="s">
        <v>374</v>
      </c>
      <c r="B247" t="e">
        <f>VLOOKUP(A247,Enrollment!A:A,1,FALSE)</f>
        <v>#N/A</v>
      </c>
      <c r="C247" t="str">
        <f>VLOOKUP(A247,Distance!A:A,1,FALSE)</f>
        <v>611 N WOODLAWN AVE</v>
      </c>
      <c r="D247" t="str">
        <f>VLOOKUP(A247,Sector!A:A,1,FALSE)</f>
        <v>611 N WOODLAWN AVE</v>
      </c>
      <c r="E247" t="str">
        <f>VLOOKUP(A247,'new Sector'!A:A,1,0)</f>
        <v>611 N WOODLAWN AVE</v>
      </c>
    </row>
    <row r="248" spans="1:5" hidden="1" x14ac:dyDescent="0.3">
      <c r="A248" t="s">
        <v>375</v>
      </c>
      <c r="B248" t="e">
        <f>VLOOKUP(A248,Enrollment!A:A,1,FALSE)</f>
        <v>#N/A</v>
      </c>
      <c r="C248" t="str">
        <f>VLOOKUP(A248,Distance!A:A,1,FALSE)</f>
        <v>805 E COTTAGE GROVE AVE</v>
      </c>
      <c r="D248" t="e">
        <f>VLOOKUP(A248,Sector!A:A,1,FALSE)</f>
        <v>#N/A</v>
      </c>
      <c r="E248" t="str">
        <f>VLOOKUP(A248,'new Sector'!A:A,1,0)</f>
        <v>805 E COTTAGE GROVE AVE</v>
      </c>
    </row>
    <row r="249" spans="1:5" hidden="1" x14ac:dyDescent="0.3">
      <c r="A249" t="s">
        <v>376</v>
      </c>
      <c r="B249" t="e">
        <f>VLOOKUP(A249,Enrollment!A:A,1,FALSE)</f>
        <v>#N/A</v>
      </c>
      <c r="C249" t="str">
        <f>VLOOKUP(A249,Distance!A:A,1,FALSE)</f>
        <v>824.5 E COTTAGE GROVE AVE</v>
      </c>
      <c r="D249" t="e">
        <f>VLOOKUP(A249,Sector!A:A,1,FALSE)</f>
        <v>#N/A</v>
      </c>
      <c r="E249" t="str">
        <f>VLOOKUP(A249,'new Sector'!A:A,1,0)</f>
        <v>824.5 E COTTAGE GROVE AVE</v>
      </c>
    </row>
    <row r="250" spans="1:5" hidden="1" x14ac:dyDescent="0.3">
      <c r="A250" t="s">
        <v>377</v>
      </c>
      <c r="B250" t="e">
        <f>VLOOKUP(A250,Enrollment!A:A,1,FALSE)</f>
        <v>#N/A</v>
      </c>
      <c r="C250" t="str">
        <f>VLOOKUP(A250,Distance!A:A,1,FALSE)</f>
        <v>711 N PARK AVE</v>
      </c>
      <c r="D250" t="e">
        <f>VLOOKUP(A250,Sector!A:A,1,FALSE)</f>
        <v>#N/A</v>
      </c>
      <c r="E250" t="str">
        <f>VLOOKUP(A250,'new Sector'!A:A,1,0)</f>
        <v>711 N PARK AVE</v>
      </c>
    </row>
    <row r="251" spans="1:5" hidden="1" x14ac:dyDescent="0.3">
      <c r="A251" t="s">
        <v>378</v>
      </c>
      <c r="B251" t="e">
        <f>VLOOKUP(A251,Enrollment!A:A,1,FALSE)</f>
        <v>#N/A</v>
      </c>
      <c r="C251" t="str">
        <f>VLOOKUP(A251,Distance!A:A,1,FALSE)</f>
        <v>711 N PARK GARAGE</v>
      </c>
      <c r="D251" t="e">
        <f>VLOOKUP(A251,Sector!A:A,1,FALSE)</f>
        <v>#N/A</v>
      </c>
      <c r="E251" t="str">
        <f>VLOOKUP(A251,'new Sector'!A:A,1,0)</f>
        <v>711 N PARK GARAGE</v>
      </c>
    </row>
    <row r="252" spans="1:5" hidden="1" x14ac:dyDescent="0.3">
      <c r="A252" t="s">
        <v>379</v>
      </c>
      <c r="B252" t="e">
        <f>VLOOKUP(A252,Enrollment!A:A,1,FALSE)</f>
        <v>#N/A</v>
      </c>
      <c r="C252" t="str">
        <f>VLOOKUP(A252,Distance!A:A,1,FALSE)</f>
        <v>721 N PARK AVE</v>
      </c>
      <c r="D252" t="e">
        <f>VLOOKUP(A252,Sector!A:A,1,FALSE)</f>
        <v>#N/A</v>
      </c>
      <c r="E252" t="str">
        <f>VLOOKUP(A252,'new Sector'!A:A,1,0)</f>
        <v>721 N PARK AVE</v>
      </c>
    </row>
    <row r="253" spans="1:5" hidden="1" x14ac:dyDescent="0.3">
      <c r="A253" t="s">
        <v>380</v>
      </c>
      <c r="B253" t="e">
        <f>VLOOKUP(A253,Enrollment!A:A,1,FALSE)</f>
        <v>#N/A</v>
      </c>
      <c r="C253" t="str">
        <f>VLOOKUP(A253,Distance!A:A,1,FALSE)</f>
        <v>821 E 10TH ST</v>
      </c>
      <c r="D253" t="str">
        <f>VLOOKUP(A253,Sector!A:A,1,FALSE)</f>
        <v>821 E 10TH ST</v>
      </c>
      <c r="E253" t="str">
        <f>VLOOKUP(A253,'new Sector'!A:A,1,0)</f>
        <v>821 E 10TH ST</v>
      </c>
    </row>
    <row r="254" spans="1:5" hidden="1" x14ac:dyDescent="0.3">
      <c r="A254" t="s">
        <v>381</v>
      </c>
      <c r="B254" t="e">
        <f>VLOOKUP(A254,Enrollment!A:A,1,FALSE)</f>
        <v>#N/A</v>
      </c>
      <c r="C254" t="str">
        <f>VLOOKUP(A254,Distance!A:A,1,FALSE)</f>
        <v>1020 N INDIANA AVE</v>
      </c>
      <c r="D254" t="str">
        <f>VLOOKUP(A254,Sector!A:A,1,FALSE)</f>
        <v>1020 N INDIANA AVE</v>
      </c>
      <c r="E254" t="str">
        <f>VLOOKUP(A254,'new Sector'!A:A,1,0)</f>
        <v>1020 N INDIANA AVE</v>
      </c>
    </row>
    <row r="255" spans="1:5" hidden="1" x14ac:dyDescent="0.3">
      <c r="A255" t="s">
        <v>382</v>
      </c>
      <c r="B255" t="e">
        <f>VLOOKUP(A255,Enrollment!A:A,1,FALSE)</f>
        <v>#N/A</v>
      </c>
      <c r="C255" t="str">
        <f>VLOOKUP(A255,Distance!A:A,1,FALSE)</f>
        <v>1114 INDIANA GARAGE</v>
      </c>
      <c r="D255" t="str">
        <f>VLOOKUP(A255,Sector!A:A,1,FALSE)</f>
        <v>1114 INDIANA GARAGE</v>
      </c>
      <c r="E255" t="str">
        <f>VLOOKUP(A255,'new Sector'!A:A,1,0)</f>
        <v>1114 INDIANA GARAGE</v>
      </c>
    </row>
    <row r="256" spans="1:5" hidden="1" x14ac:dyDescent="0.3">
      <c r="A256" t="s">
        <v>383</v>
      </c>
      <c r="B256" t="e">
        <f>VLOOKUP(A256,Enrollment!A:A,1,FALSE)</f>
        <v>#N/A</v>
      </c>
      <c r="C256" t="str">
        <f>VLOOKUP(A256,Distance!A:A,1,FALSE)</f>
        <v>1000 N INDIANA AVE</v>
      </c>
      <c r="D256" t="e">
        <f>VLOOKUP(A256,Sector!A:A,1,FALSE)</f>
        <v>#N/A</v>
      </c>
      <c r="E256" t="str">
        <f>VLOOKUP(A256,'new Sector'!A:A,1,0)</f>
        <v>1000 N INDIANA AVE</v>
      </c>
    </row>
    <row r="257" spans="1:5" hidden="1" x14ac:dyDescent="0.3">
      <c r="A257" t="s">
        <v>384</v>
      </c>
      <c r="B257" t="e">
        <f>VLOOKUP(A257,Enrollment!A:A,1,FALSE)</f>
        <v>#N/A</v>
      </c>
      <c r="C257" t="str">
        <f>VLOOKUP(A257,Distance!A:A,1,FALSE)</f>
        <v>603 E 12TH ST GARAGE</v>
      </c>
      <c r="D257" t="str">
        <f>VLOOKUP(A257,Sector!A:A,1,FALSE)</f>
        <v>603 E 12TH ST GARAGE</v>
      </c>
      <c r="E257" t="str">
        <f>VLOOKUP(A257,'new Sector'!A:A,1,0)</f>
        <v>603 E 12TH ST GARAGE</v>
      </c>
    </row>
    <row r="258" spans="1:5" hidden="1" x14ac:dyDescent="0.3">
      <c r="A258" t="s">
        <v>385</v>
      </c>
      <c r="B258" t="e">
        <f>VLOOKUP(A258,Enrollment!A:A,1,FALSE)</f>
        <v>#N/A</v>
      </c>
      <c r="C258" t="str">
        <f>VLOOKUP(A258,Distance!A:A,1,FALSE)</f>
        <v>615 E 13TH ST</v>
      </c>
      <c r="D258" t="e">
        <f>VLOOKUP(A258,Sector!A:A,1,FALSE)</f>
        <v>#N/A</v>
      </c>
      <c r="E258" t="str">
        <f>VLOOKUP(A258,'new Sector'!A:A,1,0)</f>
        <v>615 E 13TH ST</v>
      </c>
    </row>
    <row r="259" spans="1:5" hidden="1" x14ac:dyDescent="0.3">
      <c r="A259" t="s">
        <v>386</v>
      </c>
      <c r="B259" t="e">
        <f>VLOOKUP(A259,Enrollment!A:A,1,FALSE)</f>
        <v>#N/A</v>
      </c>
      <c r="C259" t="str">
        <f>VLOOKUP(A259,Distance!A:A,1,FALSE)</f>
        <v>1112 N INDIANA AVE</v>
      </c>
      <c r="D259" t="str">
        <f>VLOOKUP(A259,Sector!A:A,1,FALSE)</f>
        <v>1112 N INDIANA AVE</v>
      </c>
      <c r="E259" t="str">
        <f>VLOOKUP(A259,'new Sector'!A:A,1,0)</f>
        <v>1112 N INDIANA AVE</v>
      </c>
    </row>
    <row r="260" spans="1:5" hidden="1" x14ac:dyDescent="0.3">
      <c r="A260" t="s">
        <v>387</v>
      </c>
      <c r="B260" t="e">
        <f>VLOOKUP(A260,Enrollment!A:A,1,FALSE)</f>
        <v>#N/A</v>
      </c>
      <c r="C260" t="str">
        <f>VLOOKUP(A260,Distance!A:A,1,FALSE)</f>
        <v>1112 INDIANA GARAGE</v>
      </c>
      <c r="D260" t="e">
        <f>VLOOKUP(A260,Sector!A:A,1,FALSE)</f>
        <v>#N/A</v>
      </c>
      <c r="E260" t="str">
        <f>VLOOKUP(A260,'new Sector'!A:A,1,0)</f>
        <v>1112 INDIANA GARAGE</v>
      </c>
    </row>
    <row r="261" spans="1:5" hidden="1" x14ac:dyDescent="0.3">
      <c r="A261" t="s">
        <v>388</v>
      </c>
      <c r="B261" t="e">
        <f>VLOOKUP(A261,Enrollment!A:A,1,FALSE)</f>
        <v>#N/A</v>
      </c>
      <c r="C261" t="str">
        <f>VLOOKUP(A261,Distance!A:A,1,FALSE)</f>
        <v>623 E 13TH ST</v>
      </c>
      <c r="D261" t="str">
        <f>VLOOKUP(A261,Sector!A:A,1,FALSE)</f>
        <v>623 E 13TH ST</v>
      </c>
      <c r="E261" t="str">
        <f>VLOOKUP(A261,'new Sector'!A:A,1,0)</f>
        <v>623 E 13TH ST</v>
      </c>
    </row>
    <row r="262" spans="1:5" hidden="1" x14ac:dyDescent="0.3">
      <c r="A262" t="s">
        <v>10</v>
      </c>
      <c r="B262" t="str">
        <f>VLOOKUP(A262,Enrollment!A:A,1,FALSE)</f>
        <v>LUDDY HALL (INFORMATICS)</v>
      </c>
      <c r="C262" t="str">
        <f>VLOOKUP(A262,Distance!A:A,1,FALSE)</f>
        <v>LUDDY HALL (INFORMATICS)</v>
      </c>
      <c r="D262" t="e">
        <f>VLOOKUP(A262,Sector!A:A,1,FALSE)</f>
        <v>#N/A</v>
      </c>
      <c r="E262" t="str">
        <f>VLOOKUP(A262,'new Sector'!A:A,1,0)</f>
        <v>LUDDY HALL (INFORMATICS)</v>
      </c>
    </row>
    <row r="263" spans="1:5" hidden="1" x14ac:dyDescent="0.3">
      <c r="A263" t="s">
        <v>389</v>
      </c>
      <c r="B263" t="e">
        <f>VLOOKUP(A263,Enrollment!A:A,1,FALSE)</f>
        <v>#N/A</v>
      </c>
      <c r="C263" t="str">
        <f>VLOOKUP(A263,Distance!A:A,1,FALSE)</f>
        <v>RESEARCH SVC. BLDG.</v>
      </c>
      <c r="D263" t="str">
        <f>VLOOKUP(A263,Sector!A:A,1,FALSE)</f>
        <v>RESEARCH SVC. BLDG.</v>
      </c>
      <c r="E263" t="str">
        <f>VLOOKUP(A263,'new Sector'!A:A,1,0)</f>
        <v>RESEARCH SVC. BLDG.</v>
      </c>
    </row>
    <row r="264" spans="1:5" hidden="1" x14ac:dyDescent="0.3">
      <c r="A264" t="s">
        <v>390</v>
      </c>
      <c r="B264" t="e">
        <f>VLOOKUP(A264,Enrollment!A:A,1,FALSE)</f>
        <v>#N/A</v>
      </c>
      <c r="C264" t="str">
        <f>VLOOKUP(A264,Distance!A:A,1,FALSE)</f>
        <v>GEOL. MATERIAL TEST</v>
      </c>
      <c r="D264" t="str">
        <f>VLOOKUP(A264,Sector!A:A,1,FALSE)</f>
        <v>GEOL. MATERIAL TEST</v>
      </c>
      <c r="E264" t="str">
        <f>VLOOKUP(A264,'new Sector'!A:A,1,0)</f>
        <v>GEOL. MATERIAL TEST</v>
      </c>
    </row>
    <row r="265" spans="1:5" hidden="1" x14ac:dyDescent="0.3">
      <c r="A265" t="s">
        <v>391</v>
      </c>
      <c r="B265" t="e">
        <f>VLOOKUP(A265,Enrollment!A:A,1,FALSE)</f>
        <v>#N/A</v>
      </c>
      <c r="C265" t="str">
        <f>VLOOKUP(A265,Distance!A:A,1,FALSE)</f>
        <v>321 N WOODLAWN AVE</v>
      </c>
      <c r="D265" t="str">
        <f>VLOOKUP(A265,Sector!A:A,1,FALSE)</f>
        <v>321 N WOODLAWN AVE</v>
      </c>
      <c r="E265" t="str">
        <f>VLOOKUP(A265,'new Sector'!A:A,1,0)</f>
        <v>321 N WOODLAWN AVE</v>
      </c>
    </row>
    <row r="266" spans="1:5" hidden="1" x14ac:dyDescent="0.3">
      <c r="A266" t="s">
        <v>392</v>
      </c>
      <c r="B266" t="e">
        <f>VLOOKUP(A266,Enrollment!A:A,1,FALSE)</f>
        <v>#N/A</v>
      </c>
      <c r="C266" t="str">
        <f>VLOOKUP(A266,Distance!A:A,1,FALSE)</f>
        <v>712 E 12TH ST-GARAGE</v>
      </c>
      <c r="D266" t="e">
        <f>VLOOKUP(A266,Sector!A:A,1,FALSE)</f>
        <v>#N/A</v>
      </c>
      <c r="E266" t="str">
        <f>VLOOKUP(A266,'new Sector'!A:A,1,0)</f>
        <v>712 E 12TH ST-GARAGE</v>
      </c>
    </row>
    <row r="267" spans="1:5" hidden="1" x14ac:dyDescent="0.3">
      <c r="A267" t="s">
        <v>68</v>
      </c>
      <c r="B267" t="str">
        <f>VLOOKUP(A267,Enrollment!A:A,1,FALSE)</f>
        <v>ESKENAZI WOOD AND METAL SHOP</v>
      </c>
      <c r="C267" t="str">
        <f>VLOOKUP(A267,Distance!A:A,1,FALSE)</f>
        <v>ESKENAZI WOOD AND METAL SHOP</v>
      </c>
      <c r="D267" t="str">
        <f>VLOOKUP(A267,Sector!A:A,1,FALSE)</f>
        <v>ESKENAZI WOOD AND METAL SHOP</v>
      </c>
      <c r="E267" t="str">
        <f>VLOOKUP(A267,'new Sector'!A:A,1,0)</f>
        <v>ESKENAZI WOOD AND METAL SHOP</v>
      </c>
    </row>
    <row r="268" spans="1:5" hidden="1" x14ac:dyDescent="0.3">
      <c r="A268" t="s">
        <v>393</v>
      </c>
      <c r="B268" t="e">
        <f>VLOOKUP(A268,Enrollment!A:A,1,FALSE)</f>
        <v>#N/A</v>
      </c>
      <c r="C268" t="str">
        <f>VLOOKUP(A268,Distance!A:A,1,FALSE)</f>
        <v>821 E 11TH ST</v>
      </c>
      <c r="D268" t="e">
        <f>VLOOKUP(A268,Sector!A:A,1,FALSE)</f>
        <v>#N/A</v>
      </c>
      <c r="E268" t="str">
        <f>VLOOKUP(A268,'new Sector'!A:A,1,0)</f>
        <v>821 E 11TH ST</v>
      </c>
    </row>
    <row r="269" spans="1:5" hidden="1" x14ac:dyDescent="0.3">
      <c r="A269" t="s">
        <v>394</v>
      </c>
      <c r="B269" t="e">
        <f>VLOOKUP(A269,Enrollment!A:A,1,FALSE)</f>
        <v>#N/A</v>
      </c>
      <c r="C269" t="str">
        <f>VLOOKUP(A269,Distance!A:A,1,FALSE)</f>
        <v>703 E 11TH ST</v>
      </c>
      <c r="D269" t="e">
        <f>VLOOKUP(A269,Sector!A:A,1,FALSE)</f>
        <v>#N/A</v>
      </c>
      <c r="E269" t="str">
        <f>VLOOKUP(A269,'new Sector'!A:A,1,0)</f>
        <v>703 E 11TH ST</v>
      </c>
    </row>
    <row r="270" spans="1:5" hidden="1" x14ac:dyDescent="0.3">
      <c r="A270" t="s">
        <v>395</v>
      </c>
      <c r="B270" t="e">
        <f>VLOOKUP(A270,Enrollment!A:A,1,FALSE)</f>
        <v>#N/A</v>
      </c>
      <c r="C270" t="str">
        <f>VLOOKUP(A270,Distance!A:A,1,FALSE)</f>
        <v>707 E 11TH ST</v>
      </c>
      <c r="D270" t="e">
        <f>VLOOKUP(A270,Sector!A:A,1,FALSE)</f>
        <v>#N/A</v>
      </c>
      <c r="E270" t="str">
        <f>VLOOKUP(A270,'new Sector'!A:A,1,0)</f>
        <v>707 E 11TH ST</v>
      </c>
    </row>
    <row r="271" spans="1:5" hidden="1" x14ac:dyDescent="0.3">
      <c r="A271" t="s">
        <v>396</v>
      </c>
      <c r="B271" t="e">
        <f>VLOOKUP(A271,Enrollment!A:A,1,FALSE)</f>
        <v>#N/A</v>
      </c>
      <c r="C271" t="str">
        <f>VLOOKUP(A271,Distance!A:A,1,FALSE)</f>
        <v>707 E 11TH GARAGE</v>
      </c>
      <c r="D271" t="e">
        <f>VLOOKUP(A271,Sector!A:A,1,FALSE)</f>
        <v>#N/A</v>
      </c>
      <c r="E271" t="str">
        <f>VLOOKUP(A271,'new Sector'!A:A,1,0)</f>
        <v>707 E 11TH GARAGE</v>
      </c>
    </row>
    <row r="272" spans="1:5" hidden="1" x14ac:dyDescent="0.3">
      <c r="A272" t="s">
        <v>397</v>
      </c>
      <c r="B272" t="e">
        <f>VLOOKUP(A272,Enrollment!A:A,1,FALSE)</f>
        <v>#N/A</v>
      </c>
      <c r="C272" t="str">
        <f>VLOOKUP(A272,Distance!A:A,1,FALSE)</f>
        <v>815 E COTTAGE GROVE AVE</v>
      </c>
      <c r="D272" t="e">
        <f>VLOOKUP(A272,Sector!A:A,1,FALSE)</f>
        <v>#N/A</v>
      </c>
      <c r="E272" t="str">
        <f>VLOOKUP(A272,'new Sector'!A:A,1,0)</f>
        <v>815 E COTTAGE GROVE AVE</v>
      </c>
    </row>
    <row r="273" spans="1:5" hidden="1" x14ac:dyDescent="0.3">
      <c r="A273" t="s">
        <v>398</v>
      </c>
      <c r="B273" t="e">
        <f>VLOOKUP(A273,Enrollment!A:A,1,FALSE)</f>
        <v>#N/A</v>
      </c>
      <c r="C273" t="str">
        <f>VLOOKUP(A273,Distance!A:A,1,FALSE)</f>
        <v>715 E 11TH ST</v>
      </c>
      <c r="D273" t="e">
        <f>VLOOKUP(A273,Sector!A:A,1,FALSE)</f>
        <v>#N/A</v>
      </c>
      <c r="E273" t="str">
        <f>VLOOKUP(A273,'new Sector'!A:A,1,0)</f>
        <v>715 E 11TH ST</v>
      </c>
    </row>
    <row r="274" spans="1:5" hidden="1" x14ac:dyDescent="0.3">
      <c r="A274" t="s">
        <v>399</v>
      </c>
      <c r="B274" t="e">
        <f>VLOOKUP(A274,Enrollment!A:A,1,FALSE)</f>
        <v>#N/A</v>
      </c>
      <c r="C274" t="str">
        <f>VLOOKUP(A274,Distance!A:A,1,FALSE)</f>
        <v>815 N PARK AVE</v>
      </c>
      <c r="D274" t="e">
        <f>VLOOKUP(A274,Sector!A:A,1,FALSE)</f>
        <v>#N/A</v>
      </c>
      <c r="E274" t="str">
        <f>VLOOKUP(A274,'new Sector'!A:A,1,0)</f>
        <v>815 N PARK AVE</v>
      </c>
    </row>
    <row r="275" spans="1:5" hidden="1" x14ac:dyDescent="0.3">
      <c r="A275" t="s">
        <v>400</v>
      </c>
      <c r="B275" t="e">
        <f>VLOOKUP(A275,Enrollment!A:A,1,FALSE)</f>
        <v>#N/A</v>
      </c>
      <c r="C275" t="str">
        <f>VLOOKUP(A275,Distance!A:A,1,FALSE)</f>
        <v>813 N PARK AVE</v>
      </c>
      <c r="D275" t="e">
        <f>VLOOKUP(A275,Sector!A:A,1,FALSE)</f>
        <v>#N/A</v>
      </c>
      <c r="E275" t="str">
        <f>VLOOKUP(A275,'new Sector'!A:A,1,0)</f>
        <v>813 N PARK AVE</v>
      </c>
    </row>
    <row r="276" spans="1:5" hidden="1" x14ac:dyDescent="0.3">
      <c r="A276" t="s">
        <v>401</v>
      </c>
      <c r="B276" t="e">
        <f>VLOOKUP(A276,Enrollment!A:A,1,FALSE)</f>
        <v>#N/A</v>
      </c>
      <c r="C276" t="str">
        <f>VLOOKUP(A276,Distance!A:A,1,FALSE)</f>
        <v>823 E 11TH ST HOUSE</v>
      </c>
      <c r="D276" t="str">
        <f>VLOOKUP(A276,Sector!A:A,1,FALSE)</f>
        <v>823 E 11TH ST HOUSE</v>
      </c>
      <c r="E276" t="str">
        <f>VLOOKUP(A276,'new Sector'!A:A,1,0)</f>
        <v>823 E 11TH ST HOUSE</v>
      </c>
    </row>
    <row r="277" spans="1:5" hidden="1" x14ac:dyDescent="0.3">
      <c r="A277" t="s">
        <v>402</v>
      </c>
      <c r="B277" t="e">
        <f>VLOOKUP(A277,Enrollment!A:A,1,FALSE)</f>
        <v>#N/A</v>
      </c>
      <c r="C277" t="str">
        <f>VLOOKUP(A277,Distance!A:A,1,FALSE)</f>
        <v>823 E 11TH ST GARAGE</v>
      </c>
      <c r="D277" t="str">
        <f>VLOOKUP(A277,Sector!A:A,1,FALSE)</f>
        <v>823 E 11TH ST GARAGE</v>
      </c>
      <c r="E277" t="str">
        <f>VLOOKUP(A277,'new Sector'!A:A,1,0)</f>
        <v>823 E 11TH ST GARAGE</v>
      </c>
    </row>
    <row r="278" spans="1:5" hidden="1" x14ac:dyDescent="0.3">
      <c r="A278" t="s">
        <v>403</v>
      </c>
      <c r="B278" t="e">
        <f>VLOOKUP(A278,Enrollment!A:A,1,FALSE)</f>
        <v>#N/A</v>
      </c>
      <c r="C278" t="str">
        <f>VLOOKUP(A278,Distance!A:A,1,FALSE)</f>
        <v>DEVAULT ALUMNI CENTER</v>
      </c>
      <c r="D278" t="str">
        <f>VLOOKUP(A278,Sector!A:A,1,FALSE)</f>
        <v>DEVAULT ALUMNI CENTER</v>
      </c>
      <c r="E278" t="str">
        <f>VLOOKUP(A278,'new Sector'!A:A,1,0)</f>
        <v>DEVAULT ALUMNI CENTER</v>
      </c>
    </row>
    <row r="279" spans="1:5" hidden="1" x14ac:dyDescent="0.3">
      <c r="A279" t="s">
        <v>404</v>
      </c>
      <c r="B279" t="e">
        <f>VLOOKUP(A279,Enrollment!A:A,1,FALSE)</f>
        <v>#N/A</v>
      </c>
      <c r="C279" t="str">
        <f>VLOOKUP(A279,Distance!A:A,1,FALSE)</f>
        <v>1104 N WOODLAWN AVE</v>
      </c>
      <c r="D279" t="e">
        <f>VLOOKUP(A279,Sector!A:A,1,FALSE)</f>
        <v>#N/A</v>
      </c>
      <c r="E279" t="str">
        <f>VLOOKUP(A279,'new Sector'!A:A,1,0)</f>
        <v>1104 N WOODLAWN AVE</v>
      </c>
    </row>
    <row r="280" spans="1:5" hidden="1" x14ac:dyDescent="0.3">
      <c r="A280" t="s">
        <v>405</v>
      </c>
      <c r="B280" t="e">
        <f>VLOOKUP(A280,Enrollment!A:A,1,FALSE)</f>
        <v>#N/A</v>
      </c>
      <c r="C280" t="str">
        <f>VLOOKUP(A280,Distance!A:A,1,FALSE)</f>
        <v>1106 N WOODLAWN AVE</v>
      </c>
      <c r="D280" t="e">
        <f>VLOOKUP(A280,Sector!A:A,1,FALSE)</f>
        <v>#N/A</v>
      </c>
      <c r="E280" t="str">
        <f>VLOOKUP(A280,'new Sector'!A:A,1,0)</f>
        <v>1106 N WOODLAWN AVE</v>
      </c>
    </row>
    <row r="281" spans="1:5" hidden="1" x14ac:dyDescent="0.3">
      <c r="A281" t="s">
        <v>127</v>
      </c>
      <c r="B281" t="str">
        <f>VLOOKUP(A281,Enrollment!A:A,1,FALSE)</f>
        <v>STUDIO ARTS ANNEX</v>
      </c>
      <c r="C281" t="str">
        <f>VLOOKUP(A281,Distance!A:A,1,FALSE)</f>
        <v>STUDIO ARTS ANNEX</v>
      </c>
      <c r="D281" t="str">
        <f>VLOOKUP(A281,Sector!A:A,1,FALSE)</f>
        <v>STUDIO ARTS ANNEX</v>
      </c>
      <c r="E281" t="str">
        <f>VLOOKUP(A281,'new Sector'!A:A,1,0)</f>
        <v>STUDIO ARTS ANNEX</v>
      </c>
    </row>
    <row r="282" spans="1:5" hidden="1" x14ac:dyDescent="0.3">
      <c r="A282" t="s">
        <v>406</v>
      </c>
      <c r="B282" t="e">
        <f>VLOOKUP(A282,Enrollment!A:A,1,FALSE)</f>
        <v>#N/A</v>
      </c>
      <c r="C282" t="str">
        <f>VLOOKUP(A282,Distance!A:A,1,FALSE)</f>
        <v>1202 N WOODLAWN AVE</v>
      </c>
      <c r="D282" t="e">
        <f>VLOOKUP(A282,Sector!A:A,1,FALSE)</f>
        <v>#N/A</v>
      </c>
      <c r="E282" t="str">
        <f>VLOOKUP(A282,'new Sector'!A:A,1,0)</f>
        <v>1202 N WOODLAWN AVE</v>
      </c>
    </row>
    <row r="283" spans="1:5" hidden="1" x14ac:dyDescent="0.3">
      <c r="A283" t="s">
        <v>407</v>
      </c>
      <c r="B283" t="e">
        <f>VLOOKUP(A283,Enrollment!A:A,1,FALSE)</f>
        <v>#N/A</v>
      </c>
      <c r="C283" t="str">
        <f>VLOOKUP(A283,Distance!A:A,1,FALSE)</f>
        <v>1216 N WOODLAWN AVE</v>
      </c>
      <c r="D283" t="e">
        <f>VLOOKUP(A283,Sector!A:A,1,FALSE)</f>
        <v>#N/A</v>
      </c>
      <c r="E283" t="str">
        <f>VLOOKUP(A283,'new Sector'!A:A,1,0)</f>
        <v>1216 N WOODLAWN AVE</v>
      </c>
    </row>
    <row r="284" spans="1:5" hidden="1" x14ac:dyDescent="0.3">
      <c r="A284" t="s">
        <v>408</v>
      </c>
      <c r="B284" t="e">
        <f>VLOOKUP(A284,Enrollment!A:A,1,FALSE)</f>
        <v>#N/A</v>
      </c>
      <c r="C284" t="str">
        <f>VLOOKUP(A284,Distance!A:A,1,FALSE)</f>
        <v>901 N WOODLAWN AVE</v>
      </c>
      <c r="D284" t="str">
        <f>VLOOKUP(A284,Sector!A:A,1,FALSE)</f>
        <v>901 N WOODLAWN AVE</v>
      </c>
      <c r="E284" t="str">
        <f>VLOOKUP(A284,'new Sector'!A:A,1,0)</f>
        <v>901 N WOODLAWN AVE</v>
      </c>
    </row>
    <row r="285" spans="1:5" hidden="1" x14ac:dyDescent="0.3">
      <c r="A285" t="s">
        <v>409</v>
      </c>
      <c r="B285" t="e">
        <f>VLOOKUP(A285,Enrollment!A:A,1,FALSE)</f>
        <v>#N/A</v>
      </c>
      <c r="C285" t="str">
        <f>VLOOKUP(A285,Distance!A:A,1,FALSE)</f>
        <v>607 E 13TH ST</v>
      </c>
      <c r="D285" t="e">
        <f>VLOOKUP(A285,Sector!A:A,1,FALSE)</f>
        <v>#N/A</v>
      </c>
      <c r="E285" t="str">
        <f>VLOOKUP(A285,'new Sector'!A:A,1,0)</f>
        <v>607 E 13TH ST</v>
      </c>
    </row>
    <row r="286" spans="1:5" hidden="1" x14ac:dyDescent="0.3">
      <c r="A286" t="s">
        <v>410</v>
      </c>
      <c r="B286" t="e">
        <f>VLOOKUP(A286,Enrollment!A:A,1,FALSE)</f>
        <v>#N/A</v>
      </c>
      <c r="C286" t="str">
        <f>VLOOKUP(A286,Distance!A:A,1,FALSE)</f>
        <v>919 E 13TH ST</v>
      </c>
      <c r="D286" t="str">
        <f>VLOOKUP(A286,Sector!A:A,1,FALSE)</f>
        <v>919 E 13TH ST</v>
      </c>
      <c r="E286" t="str">
        <f>VLOOKUP(A286,'new Sector'!A:A,1,0)</f>
        <v>919 E 13TH ST</v>
      </c>
    </row>
    <row r="287" spans="1:5" hidden="1" x14ac:dyDescent="0.3">
      <c r="A287" t="s">
        <v>411</v>
      </c>
      <c r="B287" t="e">
        <f>VLOOKUP(A287,Enrollment!A:A,1,FALSE)</f>
        <v>#N/A</v>
      </c>
      <c r="C287" t="str">
        <f>VLOOKUP(A287,Distance!A:A,1,FALSE)</f>
        <v>710 N FESS AVE</v>
      </c>
      <c r="D287" t="str">
        <f>VLOOKUP(A287,Sector!A:A,1,FALSE)</f>
        <v>710 N FESS AVE</v>
      </c>
      <c r="E287" t="str">
        <f>VLOOKUP(A287,'new Sector'!A:A,1,0)</f>
        <v>710 N FESS AVE</v>
      </c>
    </row>
    <row r="288" spans="1:5" hidden="1" x14ac:dyDescent="0.3">
      <c r="A288" t="s">
        <v>412</v>
      </c>
      <c r="B288" t="e">
        <f>VLOOKUP(A288,Enrollment!A:A,1,FALSE)</f>
        <v>#N/A</v>
      </c>
      <c r="C288" t="str">
        <f>VLOOKUP(A288,Distance!A:A,1,FALSE)</f>
        <v>829 N FESS AVE</v>
      </c>
      <c r="D288" t="e">
        <f>VLOOKUP(A288,Sector!A:A,1,FALSE)</f>
        <v>#N/A</v>
      </c>
      <c r="E288" t="str">
        <f>VLOOKUP(A288,'new Sector'!A:A,1,0)</f>
        <v>829 N FESS AVE</v>
      </c>
    </row>
    <row r="289" spans="1:5" hidden="1" x14ac:dyDescent="0.3">
      <c r="A289" t="s">
        <v>413</v>
      </c>
      <c r="B289" t="e">
        <f>VLOOKUP(A289,Enrollment!A:A,1,FALSE)</f>
        <v>#N/A</v>
      </c>
      <c r="C289" t="str">
        <f>VLOOKUP(A289,Distance!A:A,1,FALSE)</f>
        <v>905 E 14TH ST</v>
      </c>
      <c r="D289" t="e">
        <f>VLOOKUP(A289,Sector!A:A,1,FALSE)</f>
        <v>#N/A</v>
      </c>
      <c r="E289" t="str">
        <f>VLOOKUP(A289,'new Sector'!A:A,1,0)</f>
        <v>905 E 14TH ST</v>
      </c>
    </row>
    <row r="290" spans="1:5" hidden="1" x14ac:dyDescent="0.3">
      <c r="A290" t="s">
        <v>414</v>
      </c>
      <c r="B290" t="e">
        <f>VLOOKUP(A290,Enrollment!A:A,1,FALSE)</f>
        <v>#N/A</v>
      </c>
      <c r="C290" t="str">
        <f>VLOOKUP(A290,Distance!A:A,1,FALSE)</f>
        <v>913 E 14TH ST</v>
      </c>
      <c r="D290" t="e">
        <f>VLOOKUP(A290,Sector!A:A,1,FALSE)</f>
        <v>#N/A</v>
      </c>
      <c r="E290" t="str">
        <f>VLOOKUP(A290,'new Sector'!A:A,1,0)</f>
        <v>913 E 14TH ST</v>
      </c>
    </row>
    <row r="291" spans="1:5" hidden="1" x14ac:dyDescent="0.3">
      <c r="A291" t="s">
        <v>415</v>
      </c>
      <c r="B291" t="e">
        <f>VLOOKUP(A291,Enrollment!A:A,1,FALSE)</f>
        <v>#N/A</v>
      </c>
      <c r="C291" t="str">
        <f>VLOOKUP(A291,Distance!A:A,1,FALSE)</f>
        <v>908 E 14TH ST: HOUSE</v>
      </c>
      <c r="D291" t="str">
        <f>VLOOKUP(A291,Sector!A:A,1,FALSE)</f>
        <v>908 E 14TH ST: HOUSE</v>
      </c>
      <c r="E291" t="str">
        <f>VLOOKUP(A291,'new Sector'!A:A,1,0)</f>
        <v>908 E 14TH ST: HOUSE</v>
      </c>
    </row>
    <row r="292" spans="1:5" hidden="1" x14ac:dyDescent="0.3">
      <c r="A292" t="s">
        <v>416</v>
      </c>
      <c r="B292" t="e">
        <f>VLOOKUP(A292,Enrollment!A:A,1,FALSE)</f>
        <v>#N/A</v>
      </c>
      <c r="C292" t="str">
        <f>VLOOKUP(A292,Distance!A:A,1,FALSE)</f>
        <v>908 E 14TH ST: GARAGE</v>
      </c>
      <c r="D292" t="str">
        <f>VLOOKUP(A292,Sector!A:A,1,FALSE)</f>
        <v>908 E 14TH ST: GARAGE</v>
      </c>
      <c r="E292" t="str">
        <f>VLOOKUP(A292,'new Sector'!A:A,1,0)</f>
        <v>908 E 14TH ST: GARAGE</v>
      </c>
    </row>
    <row r="293" spans="1:5" hidden="1" x14ac:dyDescent="0.3">
      <c r="A293" t="s">
        <v>417</v>
      </c>
      <c r="B293" t="e">
        <f>VLOOKUP(A293,Enrollment!A:A,1,FALSE)</f>
        <v>#N/A</v>
      </c>
      <c r="C293" t="str">
        <f>VLOOKUP(A293,Distance!A:A,1,FALSE)</f>
        <v>CHILLED WATER PLANT</v>
      </c>
      <c r="D293" t="str">
        <f>VLOOKUP(A293,Sector!A:A,1,FALSE)</f>
        <v>CHILLED WATER PLANT</v>
      </c>
      <c r="E293" t="str">
        <f>VLOOKUP(A293,'new Sector'!A:A,1,0)</f>
        <v>CHILLED WATER PLANT</v>
      </c>
    </row>
    <row r="294" spans="1:5" hidden="1" x14ac:dyDescent="0.3">
      <c r="A294" t="s">
        <v>418</v>
      </c>
      <c r="B294" t="e">
        <f>VLOOKUP(A294,Enrollment!A:A,1,FALSE)</f>
        <v>#N/A</v>
      </c>
      <c r="C294" t="str">
        <f>VLOOKUP(A294,Distance!A:A,1,FALSE)</f>
        <v>ECHO CHAMBER</v>
      </c>
      <c r="D294" t="str">
        <f>VLOOKUP(A294,Sector!A:A,1,FALSE)</f>
        <v>ECHO CHAMBER</v>
      </c>
      <c r="E294" t="str">
        <f>VLOOKUP(A294,'new Sector'!A:A,1,0)</f>
        <v>ECHO CHAMBER</v>
      </c>
    </row>
    <row r="295" spans="1:5" hidden="1" x14ac:dyDescent="0.3">
      <c r="A295" t="s">
        <v>419</v>
      </c>
      <c r="B295" t="e">
        <f>VLOOKUP(A295,Enrollment!A:A,1,FALSE)</f>
        <v>#N/A</v>
      </c>
      <c r="C295" t="str">
        <f>VLOOKUP(A295,Distance!A:A,1,FALSE)</f>
        <v>ANECHOIC LAB</v>
      </c>
      <c r="D295" t="str">
        <f>VLOOKUP(A295,Sector!A:A,1,FALSE)</f>
        <v>ANECHOIC LAB</v>
      </c>
      <c r="E295" t="str">
        <f>VLOOKUP(A295,'new Sector'!A:A,1,0)</f>
        <v>ANECHOIC LAB</v>
      </c>
    </row>
    <row r="296" spans="1:5" hidden="1" x14ac:dyDescent="0.3">
      <c r="A296" t="s">
        <v>420</v>
      </c>
      <c r="B296" t="e">
        <f>VLOOKUP(A296,Enrollment!A:A,1,FALSE)</f>
        <v>#N/A</v>
      </c>
      <c r="C296" t="str">
        <f>VLOOKUP(A296,Distance!A:A,1,FALSE)</f>
        <v>BEHAVIOR LAB</v>
      </c>
      <c r="D296" t="str">
        <f>VLOOKUP(A296,Sector!A:A,1,FALSE)</f>
        <v>BEHAVIOR LAB</v>
      </c>
      <c r="E296" t="str">
        <f>VLOOKUP(A296,'new Sector'!A:A,1,0)</f>
        <v>BEHAVIOR LAB</v>
      </c>
    </row>
    <row r="297" spans="1:5" hidden="1" x14ac:dyDescent="0.3">
      <c r="A297" t="s">
        <v>421</v>
      </c>
      <c r="B297" t="e">
        <f>VLOOKUP(A297,Enrollment!A:A,1,FALSE)</f>
        <v>#N/A</v>
      </c>
      <c r="C297" t="str">
        <f>VLOOKUP(A297,Distance!A:A,1,FALSE)</f>
        <v>N WOODLAWN CHILLER PLANT</v>
      </c>
      <c r="D297" t="str">
        <f>VLOOKUP(A297,Sector!A:A,1,FALSE)</f>
        <v>N WOODLAWN CHILLER PLANT</v>
      </c>
      <c r="E297" t="str">
        <f>VLOOKUP(A297,'new Sector'!A:A,1,0)</f>
        <v>N WOODLAWN CHILLER PLANT</v>
      </c>
    </row>
    <row r="298" spans="1:5" hidden="1" x14ac:dyDescent="0.3">
      <c r="A298" t="s">
        <v>105</v>
      </c>
      <c r="B298" t="str">
        <f>VLOOKUP(A298,Enrollment!A:A,1,FALSE)</f>
        <v>MYLES BRAND HALL</v>
      </c>
      <c r="C298" t="str">
        <f>VLOOKUP(A298,Distance!A:A,1,FALSE)</f>
        <v>MYLES BRAND HALL</v>
      </c>
      <c r="D298" t="str">
        <f>VLOOKUP(A298,Sector!A:A,1,FALSE)</f>
        <v>MYLES BRAND HALL</v>
      </c>
      <c r="E298" t="str">
        <f>VLOOKUP(A298,'new Sector'!A:A,1,0)</f>
        <v>MYLES BRAND HALL</v>
      </c>
    </row>
    <row r="299" spans="1:5" hidden="1" x14ac:dyDescent="0.3">
      <c r="A299" t="s">
        <v>422</v>
      </c>
      <c r="B299" t="e">
        <f>VLOOKUP(A299,Enrollment!A:A,1,FALSE)</f>
        <v>#N/A</v>
      </c>
      <c r="C299" t="str">
        <f>VLOOKUP(A299,Distance!A:A,1,FALSE)</f>
        <v>607 E 12TH ST</v>
      </c>
      <c r="D299" t="str">
        <f>VLOOKUP(A299,Sector!A:A,1,FALSE)</f>
        <v>607 E 12TH ST</v>
      </c>
      <c r="E299" t="str">
        <f>VLOOKUP(A299,'new Sector'!A:A,1,0)</f>
        <v>607 E 12TH ST</v>
      </c>
    </row>
    <row r="300" spans="1:5" hidden="1" x14ac:dyDescent="0.3">
      <c r="A300" t="s">
        <v>423</v>
      </c>
      <c r="B300" t="e">
        <f>VLOOKUP(A300,Enrollment!A:A,1,FALSE)</f>
        <v>#N/A</v>
      </c>
      <c r="C300" t="str">
        <f>VLOOKUP(A300,Distance!A:A,1,FALSE)</f>
        <v>608 E 12TH ST</v>
      </c>
      <c r="D300" t="str">
        <f>VLOOKUP(A300,Sector!A:A,1,FALSE)</f>
        <v>608 E 12TH ST</v>
      </c>
      <c r="E300" t="str">
        <f>VLOOKUP(A300,'new Sector'!A:A,1,0)</f>
        <v>608 E 12TH ST</v>
      </c>
    </row>
    <row r="301" spans="1:5" hidden="1" x14ac:dyDescent="0.3">
      <c r="A301" t="s">
        <v>93</v>
      </c>
      <c r="B301" t="str">
        <f>VLOOKUP(A301,Enrollment!A:A,1,FALSE)</f>
        <v>LUDDY CENTER FOR AI</v>
      </c>
      <c r="C301" t="str">
        <f>VLOOKUP(A301,Distance!A:A,1,FALSE)</f>
        <v>LUDDY CENTER FOR AI</v>
      </c>
      <c r="D301" t="str">
        <f>VLOOKUP(A301,Sector!A:A,1,FALSE)</f>
        <v>LUDDY CENTER FOR AI</v>
      </c>
      <c r="E301" t="str">
        <f>VLOOKUP(A301,'new Sector'!A:A,1,0)</f>
        <v>LUDDY CENTER FOR AI</v>
      </c>
    </row>
    <row r="302" spans="1:5" hidden="1" x14ac:dyDescent="0.3">
      <c r="A302" t="s">
        <v>72</v>
      </c>
      <c r="B302" t="str">
        <f>VLOOKUP(A302,Enrollment!A:A,1,FALSE)</f>
        <v>GEOLOGICAL SCIENCES</v>
      </c>
      <c r="C302" t="str">
        <f>VLOOKUP(A302,Distance!A:A,1,FALSE)</f>
        <v>GEOLOGICAL SCIENCES</v>
      </c>
      <c r="D302" t="str">
        <f>VLOOKUP(A302,Sector!A:A,1,FALSE)</f>
        <v>GEOLOGICAL SCIENCES</v>
      </c>
      <c r="E302" t="str">
        <f>VLOOKUP(A302,'new Sector'!A:A,1,0)</f>
        <v>GEOLOGICAL SCIENCES</v>
      </c>
    </row>
    <row r="303" spans="1:5" hidden="1" x14ac:dyDescent="0.3">
      <c r="A303" t="s">
        <v>11</v>
      </c>
      <c r="B303" t="str">
        <f>VLOOKUP(A303,Enrollment!A:A,1,FALSE)</f>
        <v>PSYCHOLOGY</v>
      </c>
      <c r="C303" t="str">
        <f>VLOOKUP(A303,Distance!A:A,1,FALSE)</f>
        <v>PSYCHOLOGY</v>
      </c>
      <c r="D303" t="str">
        <f>VLOOKUP(A303,Sector!A:A,1,FALSE)</f>
        <v>PSYCHOLOGY</v>
      </c>
      <c r="E303" t="str">
        <f>VLOOKUP(A303,'new Sector'!A:A,1,0)</f>
        <v>PSYCHOLOGY</v>
      </c>
    </row>
    <row r="304" spans="1:5" hidden="1" x14ac:dyDescent="0.3">
      <c r="A304" t="s">
        <v>424</v>
      </c>
      <c r="B304" t="e">
        <f>VLOOKUP(A304,Enrollment!A:A,1,FALSE)</f>
        <v>#N/A</v>
      </c>
      <c r="C304" t="str">
        <f>VLOOKUP(A304,Distance!A:A,1,FALSE)</f>
        <v>615 E 14TH ST</v>
      </c>
      <c r="D304" t="str">
        <f>VLOOKUP(A304,Sector!A:A,1,FALSE)</f>
        <v>615 E 14TH ST</v>
      </c>
      <c r="E304" t="str">
        <f>VLOOKUP(A304,'new Sector'!A:A,1,0)</f>
        <v>615 E 14TH ST</v>
      </c>
    </row>
    <row r="305" spans="1:5" hidden="1" x14ac:dyDescent="0.3">
      <c r="A305" t="s">
        <v>425</v>
      </c>
      <c r="B305" t="e">
        <f>VLOOKUP(A305,Enrollment!A:A,1,FALSE)</f>
        <v>#N/A</v>
      </c>
      <c r="C305" t="str">
        <f>VLOOKUP(A305,Distance!A:A,1,FALSE)</f>
        <v>1103 N FESS AVE</v>
      </c>
      <c r="D305" t="str">
        <f>VLOOKUP(A305,Sector!A:A,1,FALSE)</f>
        <v>1103 N FESS AVE</v>
      </c>
      <c r="E305" t="str">
        <f>VLOOKUP(A305,'new Sector'!A:A,1,0)</f>
        <v>1103 N FESS AVE</v>
      </c>
    </row>
    <row r="306" spans="1:5" hidden="1" x14ac:dyDescent="0.3">
      <c r="A306" t="s">
        <v>171</v>
      </c>
      <c r="B306" t="str">
        <f>VLOOKUP(A306,Enrollment!A:A,1,FALSE)</f>
        <v>MULTI SCIENCE 2</v>
      </c>
      <c r="C306" t="str">
        <f>VLOOKUP(A306,Distance!A:A,1,FALSE)</f>
        <v>MULTI SCIENCE 2</v>
      </c>
      <c r="D306" t="str">
        <f>VLOOKUP(A306,Sector!A:A,1,FALSE)</f>
        <v>MULTI SCIENCE 2</v>
      </c>
      <c r="E306" t="str">
        <f>VLOOKUP(A306,'new Sector'!A:A,1,0)</f>
        <v>MULTI SCIENCE 2</v>
      </c>
    </row>
    <row r="307" spans="1:5" hidden="1" x14ac:dyDescent="0.3">
      <c r="A307" t="s">
        <v>426</v>
      </c>
      <c r="B307" t="e">
        <f>VLOOKUP(A307,Enrollment!A:A,1,FALSE)</f>
        <v>#N/A</v>
      </c>
      <c r="C307" t="str">
        <f>VLOOKUP(A307,Distance!A:A,1,FALSE)</f>
        <v>880 N WALNUT GROVE</v>
      </c>
      <c r="D307" t="str">
        <f>VLOOKUP(A307,Sector!A:A,1,FALSE)</f>
        <v>880 N WALNUT GROVE</v>
      </c>
      <c r="E307" t="str">
        <f>VLOOKUP(A307,'new Sector'!A:A,1,0)</f>
        <v>880 N WALNUT GROVE</v>
      </c>
    </row>
    <row r="308" spans="1:5" hidden="1" x14ac:dyDescent="0.3">
      <c r="A308" t="s">
        <v>51</v>
      </c>
      <c r="B308" t="str">
        <f>VLOOKUP(A308,Enrollment!A:A,1,FALSE)</f>
        <v>BRISCOE QUAD</v>
      </c>
      <c r="C308" t="str">
        <f>VLOOKUP(A308,Distance!A:A,1,FALSE)</f>
        <v>BRISCOE QUAD</v>
      </c>
      <c r="D308" t="str">
        <f>VLOOKUP(A308,Sector!A:A,1,FALSE)</f>
        <v>BRISCOE QUAD</v>
      </c>
      <c r="E308" t="str">
        <f>VLOOKUP(A308,'new Sector'!A:A,1,0)</f>
        <v>BRISCOE QUAD</v>
      </c>
    </row>
    <row r="309" spans="1:5" hidden="1" x14ac:dyDescent="0.3">
      <c r="A309" t="s">
        <v>427</v>
      </c>
      <c r="B309" t="e">
        <f>VLOOKUP(A309,Enrollment!A:A,1,FALSE)</f>
        <v>#N/A</v>
      </c>
      <c r="C309" t="str">
        <f>VLOOKUP(A309,Distance!A:A,1,FALSE)</f>
        <v>PERSIMMON A &amp; B</v>
      </c>
      <c r="D309" t="str">
        <f>VLOOKUP(A309,Sector!A:A,1,FALSE)</f>
        <v>PERSIMMON A &amp; B</v>
      </c>
      <c r="E309" t="str">
        <f>VLOOKUP(A309,'new Sector'!A:A,1,0)</f>
        <v>PERSIMMON A &amp; B</v>
      </c>
    </row>
    <row r="310" spans="1:5" hidden="1" x14ac:dyDescent="0.3">
      <c r="A310" t="s">
        <v>428</v>
      </c>
      <c r="B310" t="e">
        <f>VLOOKUP(A310,Enrollment!A:A,1,FALSE)</f>
        <v>#N/A</v>
      </c>
      <c r="C310" t="str">
        <f>VLOOKUP(A310,Distance!A:A,1,FALSE)</f>
        <v>MCNUTT NORTH</v>
      </c>
      <c r="D310" t="str">
        <f>VLOOKUP(A310,Sector!A:A,1,FALSE)</f>
        <v>MCNUTT NORTH</v>
      </c>
      <c r="E310" t="str">
        <f>VLOOKUP(A310,'new Sector'!A:A,1,0)</f>
        <v>MCNUTT NORTH</v>
      </c>
    </row>
    <row r="311" spans="1:5" hidden="1" x14ac:dyDescent="0.3">
      <c r="A311" t="s">
        <v>97</v>
      </c>
      <c r="B311" t="str">
        <f>VLOOKUP(A311,Enrollment!A:A,1,FALSE)</f>
        <v>MCNUTT CENTRAL</v>
      </c>
      <c r="C311" t="str">
        <f>VLOOKUP(A311,Distance!A:A,1,FALSE)</f>
        <v>MCNUTT CENTRAL</v>
      </c>
      <c r="D311" t="str">
        <f>VLOOKUP(A311,Sector!A:A,1,FALSE)</f>
        <v>MCNUTT CENTRAL</v>
      </c>
      <c r="E311" t="str">
        <f>VLOOKUP(A311,'new Sector'!A:A,1,0)</f>
        <v>MCNUTT CENTRAL</v>
      </c>
    </row>
    <row r="312" spans="1:5" hidden="1" x14ac:dyDescent="0.3">
      <c r="A312" t="s">
        <v>429</v>
      </c>
      <c r="B312" t="e">
        <f>VLOOKUP(A312,Enrollment!A:A,1,FALSE)</f>
        <v>#N/A</v>
      </c>
      <c r="C312" t="str">
        <f>VLOOKUP(A312,Distance!A:A,1,FALSE)</f>
        <v>CHESTNUT C &amp; D</v>
      </c>
      <c r="D312" t="str">
        <f>VLOOKUP(A312,Sector!A:A,1,FALSE)</f>
        <v>CHESTNUT C &amp; D</v>
      </c>
      <c r="E312" t="str">
        <f>VLOOKUP(A312,'new Sector'!A:A,1,0)</f>
        <v>CHESTNUT C &amp; D</v>
      </c>
    </row>
    <row r="313" spans="1:5" hidden="1" x14ac:dyDescent="0.3">
      <c r="A313" t="s">
        <v>430</v>
      </c>
      <c r="B313" t="e">
        <f>VLOOKUP(A313,Enrollment!A:A,1,FALSE)</f>
        <v>#N/A</v>
      </c>
      <c r="C313" t="str">
        <f>VLOOKUP(A313,Distance!A:A,1,FALSE)</f>
        <v>MCNUTT SOUTH</v>
      </c>
      <c r="D313" t="str">
        <f>VLOOKUP(A313,Sector!A:A,1,FALSE)</f>
        <v>MCNUTT SOUTH</v>
      </c>
      <c r="E313" t="str">
        <f>VLOOKUP(A313,'new Sector'!A:A,1,0)</f>
        <v>MCNUTT SOUTH</v>
      </c>
    </row>
    <row r="314" spans="1:5" hidden="1" x14ac:dyDescent="0.3">
      <c r="A314" t="s">
        <v>431</v>
      </c>
      <c r="B314" t="e">
        <f>VLOOKUP(A314,Enrollment!A:A,1,FALSE)</f>
        <v>#N/A</v>
      </c>
      <c r="C314" t="str">
        <f>VLOOKUP(A314,Distance!A:A,1,FALSE)</f>
        <v>CENTRAL HEATING PLANT</v>
      </c>
      <c r="D314" t="str">
        <f>VLOOKUP(A314,Sector!A:A,1,FALSE)</f>
        <v>CENTRAL HEATING PLANT</v>
      </c>
      <c r="E314" t="str">
        <f>VLOOKUP(A314,'new Sector'!A:A,1,0)</f>
        <v>CENTRAL HEATING PLANT</v>
      </c>
    </row>
    <row r="315" spans="1:5" hidden="1" x14ac:dyDescent="0.3">
      <c r="A315" t="s">
        <v>432</v>
      </c>
      <c r="B315" t="e">
        <f>VLOOKUP(A315,Enrollment!A:A,1,FALSE)</f>
        <v>#N/A</v>
      </c>
      <c r="C315" t="str">
        <f>VLOOKUP(A315,Distance!A:A,1,FALSE)</f>
        <v>FEE LANE PKG GARAGE</v>
      </c>
      <c r="D315" t="str">
        <f>VLOOKUP(A315,Sector!A:A,1,FALSE)</f>
        <v>FEE LANE PKG GARAGE</v>
      </c>
      <c r="E315" t="str">
        <f>VLOOKUP(A315,'new Sector'!A:A,1,0)</f>
        <v>FEE LANE PKG GARAGE</v>
      </c>
    </row>
    <row r="316" spans="1:5" hidden="1" x14ac:dyDescent="0.3">
      <c r="A316" t="s">
        <v>28</v>
      </c>
      <c r="B316" t="str">
        <f>VLOOKUP(A316,Enrollment!A:A,1,FALSE)</f>
        <v>GODFREY GRAD&amp;EXEC ED CTR</v>
      </c>
      <c r="C316" t="str">
        <f>VLOOKUP(A316,Distance!A:A,1,FALSE)</f>
        <v>GODFREY GRAD&amp;EXEC ED CTR</v>
      </c>
      <c r="D316" t="str">
        <f>VLOOKUP(A316,Sector!A:A,1,FALSE)</f>
        <v>GODFREY GRAD&amp;EXEC ED CTR</v>
      </c>
      <c r="E316" t="str">
        <f>VLOOKUP(A316,'new Sector'!A:A,1,0)</f>
        <v>GODFREY GRAD&amp;EXEC ED CTR</v>
      </c>
    </row>
    <row r="317" spans="1:5" hidden="1" x14ac:dyDescent="0.3">
      <c r="A317" t="s">
        <v>6</v>
      </c>
      <c r="B317" t="str">
        <f>VLOOKUP(A317,Enrollment!A:A,1,FALSE)</f>
        <v>HODGE HALL (BUSINESS SCHOOL)</v>
      </c>
      <c r="C317" t="str">
        <f>VLOOKUP(A317,Distance!A:A,1,FALSE)</f>
        <v>HODGE HALL (BUSINESS SCHOOL)</v>
      </c>
      <c r="D317" t="str">
        <f>VLOOKUP(A317,Sector!A:A,1,FALSE)</f>
        <v>HODGE HALL (BUSINESS SCHOOL)</v>
      </c>
      <c r="E317" t="str">
        <f>VLOOKUP(A317,'new Sector'!A:A,1,0)</f>
        <v>HODGE HALL (BUSINESS SCHOOL)</v>
      </c>
    </row>
    <row r="318" spans="1:5" hidden="1" x14ac:dyDescent="0.3">
      <c r="A318" t="s">
        <v>14</v>
      </c>
      <c r="B318" t="str">
        <f>VLOOKUP(A318,Enrollment!A:A,1,FALSE)</f>
        <v>SPEA</v>
      </c>
      <c r="C318" t="str">
        <f>VLOOKUP(A318,Distance!A:A,1,FALSE)</f>
        <v>SPEA</v>
      </c>
      <c r="D318" t="str">
        <f>VLOOKUP(A318,Sector!A:A,1,FALSE)</f>
        <v>SPEA</v>
      </c>
      <c r="E318" t="str">
        <f>VLOOKUP(A318,'new Sector'!A:A,1,0)</f>
        <v>SPEA</v>
      </c>
    </row>
    <row r="319" spans="1:5" hidden="1" x14ac:dyDescent="0.3">
      <c r="A319" t="s">
        <v>433</v>
      </c>
      <c r="B319" t="e">
        <f>VLOOKUP(A319,Enrollment!A:A,1,FALSE)</f>
        <v>#N/A</v>
      </c>
      <c r="C319" t="str">
        <f>VLOOKUP(A319,Distance!A:A,1,FALSE)</f>
        <v>HARPER HALL</v>
      </c>
      <c r="D319" t="str">
        <f>VLOOKUP(A319,Sector!A:A,1,FALSE)</f>
        <v>HARPER HALL</v>
      </c>
      <c r="E319" t="str">
        <f>VLOOKUP(A319,'new Sector'!A:A,1,0)</f>
        <v>HARPER HALL</v>
      </c>
    </row>
    <row r="320" spans="1:5" hidden="1" x14ac:dyDescent="0.3">
      <c r="A320" t="s">
        <v>73</v>
      </c>
      <c r="B320" t="str">
        <f>VLOOKUP(A320,Enrollment!A:A,1,FALSE)</f>
        <v>GRESHAM DINING HALL</v>
      </c>
      <c r="C320" t="str">
        <f>VLOOKUP(A320,Distance!A:A,1,FALSE)</f>
        <v>GRESHAM DINING HALL</v>
      </c>
      <c r="D320" t="str">
        <f>VLOOKUP(A320,Sector!A:A,1,FALSE)</f>
        <v>GRESHAM DINING HALL</v>
      </c>
      <c r="E320" t="str">
        <f>VLOOKUP(A320,'new Sector'!A:A,1,0)</f>
        <v>GRESHAM DINING HALL</v>
      </c>
    </row>
    <row r="321" spans="1:5" hidden="1" x14ac:dyDescent="0.3">
      <c r="A321" t="s">
        <v>434</v>
      </c>
      <c r="B321" t="e">
        <f>VLOOKUP(A321,Enrollment!A:A,1,FALSE)</f>
        <v>#N/A</v>
      </c>
      <c r="C321" t="str">
        <f>VLOOKUP(A321,Distance!A:A,1,FALSE)</f>
        <v>SHEA HALL</v>
      </c>
      <c r="D321" t="str">
        <f>VLOOKUP(A321,Sector!A:A,1,FALSE)</f>
        <v>SHEA HALL</v>
      </c>
      <c r="E321" t="str">
        <f>VLOOKUP(A321,'new Sector'!A:A,1,0)</f>
        <v>SHEA HALL</v>
      </c>
    </row>
    <row r="322" spans="1:5" hidden="1" x14ac:dyDescent="0.3">
      <c r="A322" t="s">
        <v>170</v>
      </c>
      <c r="B322" t="str">
        <f>VLOOKUP(A322,Enrollment!A:A,1,FALSE)</f>
        <v>MARTIN HALL</v>
      </c>
      <c r="C322" t="str">
        <f>VLOOKUP(A322,Distance!A:A,1,FALSE)</f>
        <v>MARTIN HALL</v>
      </c>
      <c r="D322" t="str">
        <f>VLOOKUP(A322,Sector!A:A,1,FALSE)</f>
        <v>MARTIN HALL</v>
      </c>
      <c r="E322" t="str">
        <f>VLOOKUP(A322,'new Sector'!A:A,1,0)</f>
        <v>MARTIN HALL</v>
      </c>
    </row>
    <row r="323" spans="1:5" hidden="1" x14ac:dyDescent="0.3">
      <c r="A323" t="s">
        <v>435</v>
      </c>
      <c r="B323" t="e">
        <f>VLOOKUP(A323,Enrollment!A:A,1,FALSE)</f>
        <v>#N/A</v>
      </c>
      <c r="C323" t="str">
        <f>VLOOKUP(A323,Distance!A:A,1,FALSE)</f>
        <v>MAGEE HALL</v>
      </c>
      <c r="D323" t="e">
        <f>VLOOKUP(A323,Sector!A:A,1,FALSE)</f>
        <v>#N/A</v>
      </c>
      <c r="E323" t="str">
        <f>VLOOKUP(A323,'new Sector'!A:A,1,0)</f>
        <v>MAGEE HALL</v>
      </c>
    </row>
    <row r="324" spans="1:5" hidden="1" x14ac:dyDescent="0.3">
      <c r="A324" t="s">
        <v>436</v>
      </c>
      <c r="B324" t="e">
        <f>VLOOKUP(A324,Enrollment!A:A,1,FALSE)</f>
        <v>#N/A</v>
      </c>
      <c r="C324" t="str">
        <f>VLOOKUP(A324,Distance!A:A,1,FALSE)</f>
        <v>JENKINSON HALL</v>
      </c>
      <c r="D324" t="str">
        <f>VLOOKUP(A324,Sector!A:A,1,FALSE)</f>
        <v>JENKINSON HALL</v>
      </c>
      <c r="E324" t="str">
        <f>VLOOKUP(A324,'new Sector'!A:A,1,0)</f>
        <v>JENKINSON HALL</v>
      </c>
    </row>
    <row r="325" spans="1:5" hidden="1" x14ac:dyDescent="0.3">
      <c r="A325" t="s">
        <v>437</v>
      </c>
      <c r="B325" t="e">
        <f>VLOOKUP(A325,Enrollment!A:A,1,FALSE)</f>
        <v>#N/A</v>
      </c>
      <c r="C325" t="str">
        <f>VLOOKUP(A325,Distance!A:A,1,FALSE)</f>
        <v>NELSON RPS ADMIN.</v>
      </c>
      <c r="D325" t="str">
        <f>VLOOKUP(A325,Sector!A:A,1,FALSE)</f>
        <v>NELSON RPS ADMIN.</v>
      </c>
      <c r="E325" t="str">
        <f>VLOOKUP(A325,'new Sector'!A:A,1,0)</f>
        <v>NELSON RPS ADMIN.</v>
      </c>
    </row>
    <row r="326" spans="1:5" hidden="1" x14ac:dyDescent="0.3">
      <c r="A326" t="s">
        <v>593</v>
      </c>
      <c r="B326" t="e">
        <f>VLOOKUP(A326,Enrollment!A:A,1,FALSE)</f>
        <v>#N/A</v>
      </c>
      <c r="C326" t="str">
        <f>VLOOKUP(A326,Distance!A:A,1,FALSE)</f>
        <v>UNDERGRADUATE EDUCATION</v>
      </c>
      <c r="D326" t="str">
        <f>VLOOKUP(A326,Sector!A:A,1,FALSE)</f>
        <v>UNDERGRADUATE EDUCATION</v>
      </c>
      <c r="E326" t="str">
        <f>VLOOKUP(A326,'new Sector'!A:A,1,0)</f>
        <v>UNDERGRADUATE EDUCATION</v>
      </c>
    </row>
    <row r="327" spans="1:5" hidden="1" x14ac:dyDescent="0.3">
      <c r="A327" t="s">
        <v>438</v>
      </c>
      <c r="B327" t="e">
        <f>VLOOKUP(A327,Enrollment!A:A,1,FALSE)</f>
        <v>#N/A</v>
      </c>
      <c r="C327" t="str">
        <f>VLOOKUP(A327,Distance!A:A,1,FALSE)</f>
        <v>WELLS HOUSE</v>
      </c>
      <c r="D327" t="str">
        <f>VLOOKUP(A327,Sector!A:A,1,FALSE)</f>
        <v>WELLS HOUSE</v>
      </c>
      <c r="E327" t="str">
        <f>VLOOKUP(A327,'new Sector'!A:A,1,0)</f>
        <v>WELLS HOUSE</v>
      </c>
    </row>
    <row r="328" spans="1:5" hidden="1" x14ac:dyDescent="0.3">
      <c r="A328" t="s">
        <v>439</v>
      </c>
      <c r="B328" t="e">
        <f>VLOOKUP(A328,Enrollment!A:A,1,FALSE)</f>
        <v>#N/A</v>
      </c>
      <c r="C328" t="str">
        <f>VLOOKUP(A328,Distance!A:A,1,FALSE)</f>
        <v>1319 E 10TH ST</v>
      </c>
      <c r="D328" t="str">
        <f>VLOOKUP(A328,Sector!A:A,1,FALSE)</f>
        <v>1319 E 10TH ST</v>
      </c>
      <c r="E328" t="str">
        <f>VLOOKUP(A328,'new Sector'!A:A,1,0)</f>
        <v>1319 E 10TH ST</v>
      </c>
    </row>
    <row r="329" spans="1:5" hidden="1" x14ac:dyDescent="0.3">
      <c r="A329" t="s">
        <v>147</v>
      </c>
      <c r="B329" t="str">
        <f>VLOOKUP(A329,Enrollment!A:A,1,FALSE)</f>
        <v>HARLOS HOUSE</v>
      </c>
      <c r="C329" t="str">
        <f>VLOOKUP(A329,Distance!A:A,1,FALSE)</f>
        <v>HARLOS HOUSE</v>
      </c>
      <c r="D329" t="str">
        <f>VLOOKUP(A329,Sector!A:A,1,FALSE)</f>
        <v>HARLOS HOUSE</v>
      </c>
      <c r="E329" t="str">
        <f>VLOOKUP(A329,'new Sector'!A:A,1,0)</f>
        <v>HARLOS HOUSE</v>
      </c>
    </row>
    <row r="330" spans="1:5" hidden="1" x14ac:dyDescent="0.3">
      <c r="A330" t="s">
        <v>440</v>
      </c>
      <c r="B330" t="e">
        <f>VLOOKUP(A330,Enrollment!A:A,1,FALSE)</f>
        <v>#N/A</v>
      </c>
      <c r="C330" t="str">
        <f>VLOOKUP(A330,Distance!A:A,1,FALSE)</f>
        <v>1357 E 10TH ST</v>
      </c>
      <c r="D330" t="str">
        <f>VLOOKUP(A330,Sector!A:A,1,FALSE)</f>
        <v>1357 E 10TH ST</v>
      </c>
      <c r="E330" t="str">
        <f>VLOOKUP(A330,'new Sector'!A:A,1,0)</f>
        <v>1357 E 10TH ST</v>
      </c>
    </row>
    <row r="331" spans="1:5" hidden="1" x14ac:dyDescent="0.3">
      <c r="A331" t="s">
        <v>441</v>
      </c>
      <c r="B331" t="e">
        <f>VLOOKUP(A331,Enrollment!A:A,1,FALSE)</f>
        <v>#N/A</v>
      </c>
      <c r="C331" t="str">
        <f>VLOOKUP(A331,Distance!A:A,1,FALSE)</f>
        <v>IU STUDENT HEALTH CENTER</v>
      </c>
      <c r="D331" t="str">
        <f>VLOOKUP(A331,Sector!A:A,1,FALSE)</f>
        <v>IU STUDENT HEALTH CENTER</v>
      </c>
      <c r="E331" t="str">
        <f>VLOOKUP(A331,'new Sector'!A:A,1,0)</f>
        <v>IU STUDENT HEALTH CENTER</v>
      </c>
    </row>
    <row r="332" spans="1:5" hidden="1" x14ac:dyDescent="0.3">
      <c r="A332" t="s">
        <v>442</v>
      </c>
      <c r="B332" t="e">
        <f>VLOOKUP(A332,Enrollment!A:A,1,FALSE)</f>
        <v>#N/A</v>
      </c>
      <c r="C332" t="str">
        <f>VLOOKUP(A332,Distance!A:A,1,FALSE)</f>
        <v>PARKING BOOTH</v>
      </c>
      <c r="D332" t="str">
        <f>VLOOKUP(A332,Sector!A:A,1,FALSE)</f>
        <v>PARKING BOOTH</v>
      </c>
      <c r="E332" t="str">
        <f>VLOOKUP(A332,'new Sector'!A:A,1,0)</f>
        <v>PARKING BOOTH</v>
      </c>
    </row>
    <row r="333" spans="1:5" hidden="1" x14ac:dyDescent="0.3">
      <c r="A333" t="s">
        <v>116</v>
      </c>
      <c r="B333" t="str">
        <f>VLOOKUP(A333,Enrollment!A:A,1,FALSE)</f>
        <v>RECREATIONAL SPORTS</v>
      </c>
      <c r="C333" t="str">
        <f>VLOOKUP(A333,Distance!A:A,1,FALSE)</f>
        <v>RECREATIONAL SPORTS</v>
      </c>
      <c r="D333" t="str">
        <f>VLOOKUP(A333,Sector!A:A,1,FALSE)</f>
        <v>RECREATIONAL SPORTS</v>
      </c>
      <c r="E333" t="str">
        <f>VLOOKUP(A333,'new Sector'!A:A,1,0)</f>
        <v>RECREATIONAL SPORTS</v>
      </c>
    </row>
    <row r="334" spans="1:5" hidden="1" x14ac:dyDescent="0.3">
      <c r="A334" t="s">
        <v>443</v>
      </c>
      <c r="B334" t="e">
        <f>VLOOKUP(A334,Enrollment!A:A,1,FALSE)</f>
        <v>#N/A</v>
      </c>
      <c r="C334" t="str">
        <f>VLOOKUP(A334,Distance!A:A,1,FALSE)</f>
        <v>ROGERS HL ELEV PUMP</v>
      </c>
      <c r="D334" t="str">
        <f>VLOOKUP(A334,Sector!A:A,1,FALSE)</f>
        <v>ROGERS HL ELEV PUMP</v>
      </c>
      <c r="E334" t="str">
        <f>VLOOKUP(A334,'new Sector'!A:A,1,0)</f>
        <v>ROGERS HL ELEV PUMP</v>
      </c>
    </row>
    <row r="335" spans="1:5" hidden="1" x14ac:dyDescent="0.3">
      <c r="A335" t="s">
        <v>444</v>
      </c>
      <c r="B335" t="e">
        <f>VLOOKUP(A335,Enrollment!A:A,1,FALSE)</f>
        <v>#N/A</v>
      </c>
      <c r="C335" t="str">
        <f>VLOOKUP(A335,Distance!A:A,1,FALSE)</f>
        <v>FACILITY OPS STORAGE</v>
      </c>
      <c r="D335" t="str">
        <f>VLOOKUP(A335,Sector!A:A,1,FALSE)</f>
        <v>FACILITY OPS STORAGE</v>
      </c>
      <c r="E335" t="str">
        <f>VLOOKUP(A335,'new Sector'!A:A,1,0)</f>
        <v>FACILITY OPS STORAGE</v>
      </c>
    </row>
    <row r="336" spans="1:5" hidden="1" x14ac:dyDescent="0.3">
      <c r="A336" t="s">
        <v>445</v>
      </c>
      <c r="B336" t="e">
        <f>VLOOKUP(A336,Enrollment!A:A,1,FALSE)</f>
        <v>#N/A</v>
      </c>
      <c r="C336" t="str">
        <f>VLOOKUP(A336,Distance!A:A,1,FALSE)</f>
        <v>HOOSIER COURTS D/C</v>
      </c>
      <c r="D336" t="str">
        <f>VLOOKUP(A336,Sector!A:A,1,FALSE)</f>
        <v>HOOSIER COURTS D/C</v>
      </c>
      <c r="E336" t="str">
        <f>VLOOKUP(A336,'new Sector'!A:A,1,0)</f>
        <v>HOOSIER COURTS D/C</v>
      </c>
    </row>
    <row r="337" spans="1:5" hidden="1" x14ac:dyDescent="0.3">
      <c r="A337" t="s">
        <v>446</v>
      </c>
      <c r="B337" t="e">
        <f>VLOOKUP(A337,Enrollment!A:A,1,FALSE)</f>
        <v>#N/A</v>
      </c>
      <c r="C337" t="str">
        <f>VLOOKUP(A337,Distance!A:A,1,FALSE)</f>
        <v>CAMPUS VIEW APARTMENTS</v>
      </c>
      <c r="D337" t="str">
        <f>VLOOKUP(A337,Sector!A:A,1,FALSE)</f>
        <v>CAMPUS VIEW APARTMENTS</v>
      </c>
      <c r="E337" t="str">
        <f>VLOOKUP(A337,'new Sector'!A:A,1,0)</f>
        <v>CAMPUS VIEW APARTMENTS</v>
      </c>
    </row>
    <row r="338" spans="1:5" hidden="1" x14ac:dyDescent="0.3">
      <c r="A338" t="s">
        <v>447</v>
      </c>
      <c r="B338" t="e">
        <f>VLOOKUP(A338,Enrollment!A:A,1,FALSE)</f>
        <v>#N/A</v>
      </c>
      <c r="C338" t="str">
        <f>VLOOKUP(A338,Distance!A:A,1,FALSE)</f>
        <v>BOTANY GREENHOUSE</v>
      </c>
      <c r="D338" t="str">
        <f>VLOOKUP(A338,Sector!A:A,1,FALSE)</f>
        <v>BOTANY GREENHOUSE</v>
      </c>
      <c r="E338" t="str">
        <f>VLOOKUP(A338,'new Sector'!A:A,1,0)</f>
        <v>BOTANY GREENHOUSE</v>
      </c>
    </row>
    <row r="339" spans="1:5" hidden="1" x14ac:dyDescent="0.3">
      <c r="A339" t="s">
        <v>448</v>
      </c>
      <c r="B339" t="e">
        <f>VLOOKUP(A339,Enrollment!A:A,1,FALSE)</f>
        <v>#N/A</v>
      </c>
      <c r="C339" t="str">
        <f>VLOOKUP(A339,Distance!A:A,1,FALSE)</f>
        <v>JUNIOR GARDENING</v>
      </c>
      <c r="D339" t="str">
        <f>VLOOKUP(A339,Sector!A:A,1,FALSE)</f>
        <v>JUNIOR GARDENING</v>
      </c>
      <c r="E339" t="str">
        <f>VLOOKUP(A339,'new Sector'!A:A,1,0)</f>
        <v>JUNIOR GARDENING</v>
      </c>
    </row>
    <row r="340" spans="1:5" hidden="1" x14ac:dyDescent="0.3">
      <c r="A340" t="s">
        <v>449</v>
      </c>
      <c r="B340" t="e">
        <f>VLOOKUP(A340,Enrollment!A:A,1,FALSE)</f>
        <v>#N/A</v>
      </c>
      <c r="C340" t="str">
        <f>VLOOKUP(A340,Distance!A:A,1,FALSE)</f>
        <v>POLE BARN A</v>
      </c>
      <c r="D340" t="e">
        <f>VLOOKUP(A340,Sector!A:A,1,FALSE)</f>
        <v>#N/A</v>
      </c>
      <c r="E340" t="str">
        <f>VLOOKUP(A340,'new Sector'!A:A,1,0)</f>
        <v>POLE BARN A</v>
      </c>
    </row>
    <row r="341" spans="1:5" hidden="1" x14ac:dyDescent="0.3">
      <c r="A341" t="s">
        <v>450</v>
      </c>
      <c r="B341" t="e">
        <f>VLOOKUP(A341,Enrollment!A:A,1,FALSE)</f>
        <v>#N/A</v>
      </c>
      <c r="C341" t="str">
        <f>VLOOKUP(A341,Distance!A:A,1,FALSE)</f>
        <v>POLE BARN B</v>
      </c>
      <c r="D341" t="str">
        <f>VLOOKUP(A341,Sector!A:A,1,FALSE)</f>
        <v>POLE BARN B</v>
      </c>
      <c r="E341" t="str">
        <f>VLOOKUP(A341,'new Sector'!A:A,1,0)</f>
        <v>POLE BARN B</v>
      </c>
    </row>
    <row r="342" spans="1:5" hidden="1" x14ac:dyDescent="0.3">
      <c r="A342" t="s">
        <v>451</v>
      </c>
      <c r="B342" t="e">
        <f>VLOOKUP(A342,Enrollment!A:A,1,FALSE)</f>
        <v>#N/A</v>
      </c>
      <c r="C342" t="str">
        <f>VLOOKUP(A342,Distance!A:A,1,FALSE)</f>
        <v>BOTANY FIELD GREENHOUSE</v>
      </c>
      <c r="D342" t="e">
        <f>VLOOKUP(A342,Sector!A:A,1,FALSE)</f>
        <v>#N/A</v>
      </c>
      <c r="E342" t="str">
        <f>VLOOKUP(A342,'new Sector'!A:A,1,0)</f>
        <v>BOTANY FIELD GREENHOUSE</v>
      </c>
    </row>
    <row r="343" spans="1:5" hidden="1" x14ac:dyDescent="0.3">
      <c r="A343" t="s">
        <v>452</v>
      </c>
      <c r="B343" t="e">
        <f>VLOOKUP(A343,Enrollment!A:A,1,FALSE)</f>
        <v>#N/A</v>
      </c>
      <c r="C343" t="str">
        <f>VLOOKUP(A343,Distance!A:A,1,FALSE)</f>
        <v>RESEARCH LAB</v>
      </c>
      <c r="D343" t="e">
        <f>VLOOKUP(A343,Sector!A:A,1,FALSE)</f>
        <v>#N/A</v>
      </c>
      <c r="E343" t="str">
        <f>VLOOKUP(A343,'new Sector'!A:A,1,0)</f>
        <v>RESEARCH LAB</v>
      </c>
    </row>
    <row r="344" spans="1:5" hidden="1" x14ac:dyDescent="0.3">
      <c r="A344" t="s">
        <v>453</v>
      </c>
      <c r="B344" t="e">
        <f>VLOOKUP(A344,Enrollment!A:A,1,FALSE)</f>
        <v>#N/A</v>
      </c>
      <c r="C344" t="str">
        <f>VLOOKUP(A344,Distance!A:A,1,FALSE)</f>
        <v>HILLTOP GARDEN CENTER</v>
      </c>
      <c r="D344" t="str">
        <f>VLOOKUP(A344,Sector!A:A,1,FALSE)</f>
        <v>HILLTOP GARDEN CENTER</v>
      </c>
      <c r="E344" t="str">
        <f>VLOOKUP(A344,'new Sector'!A:A,1,0)</f>
        <v>HILLTOP GARDEN CENTER</v>
      </c>
    </row>
    <row r="345" spans="1:5" hidden="1" x14ac:dyDescent="0.3">
      <c r="A345" t="s">
        <v>454</v>
      </c>
      <c r="B345" t="e">
        <f>VLOOKUP(A345,Enrollment!A:A,1,FALSE)</f>
        <v>#N/A</v>
      </c>
      <c r="C345" t="str">
        <f>VLOOKUP(A345,Distance!A:A,1,FALSE)</f>
        <v>FLY MAGNETIC CENTER</v>
      </c>
      <c r="D345" t="str">
        <f>VLOOKUP(A345,Sector!A:A,1,FALSE)</f>
        <v>FLY MAGNETIC CENTER</v>
      </c>
      <c r="E345" t="str">
        <f>VLOOKUP(A345,'new Sector'!A:A,1,0)</f>
        <v>FLY MAGNETIC CENTER</v>
      </c>
    </row>
    <row r="346" spans="1:5" hidden="1" x14ac:dyDescent="0.3">
      <c r="A346" t="s">
        <v>455</v>
      </c>
      <c r="B346" t="e">
        <f>VLOOKUP(A346,Enrollment!A:A,1,FALSE)</f>
        <v>#N/A</v>
      </c>
      <c r="C346" t="str">
        <f>VLOOKUP(A346,Distance!A:A,1,FALSE)</f>
        <v>TULIP TREE APTS</v>
      </c>
      <c r="D346" t="str">
        <f>VLOOKUP(A346,Sector!A:A,1,FALSE)</f>
        <v>TULIP TREE APTS</v>
      </c>
      <c r="E346" t="str">
        <f>VLOOKUP(A346,'new Sector'!A:A,1,0)</f>
        <v>TULIP TREE APTS</v>
      </c>
    </row>
    <row r="347" spans="1:5" hidden="1" x14ac:dyDescent="0.3">
      <c r="A347" t="s">
        <v>456</v>
      </c>
      <c r="B347" t="e">
        <f>VLOOKUP(A347,Enrollment!A:A,1,FALSE)</f>
        <v>#N/A</v>
      </c>
      <c r="C347" t="str">
        <f>VLOOKUP(A347,Distance!A:A,1,FALSE)</f>
        <v>LANDSCAPE SVCS</v>
      </c>
      <c r="D347" t="str">
        <f>VLOOKUP(A347,Sector!A:A,1,FALSE)</f>
        <v>LANDSCAPE SVCS</v>
      </c>
      <c r="E347" t="str">
        <f>VLOOKUP(A347,'new Sector'!A:A,1,0)</f>
        <v>LANDSCAPE SVCS</v>
      </c>
    </row>
    <row r="348" spans="1:5" hidden="1" x14ac:dyDescent="0.3">
      <c r="A348" t="s">
        <v>457</v>
      </c>
      <c r="B348" t="e">
        <f>VLOOKUP(A348,Enrollment!A:A,1,FALSE)</f>
        <v>#N/A</v>
      </c>
      <c r="C348" t="str">
        <f>VLOOKUP(A348,Distance!A:A,1,FALSE)</f>
        <v>LANDSCAPE SRV 1</v>
      </c>
      <c r="D348" t="str">
        <f>VLOOKUP(A348,Sector!A:A,1,FALSE)</f>
        <v>LANDSCAPE SRV 1</v>
      </c>
      <c r="E348" t="str">
        <f>VLOOKUP(A348,'new Sector'!A:A,1,0)</f>
        <v>LANDSCAPE SRV 1</v>
      </c>
    </row>
    <row r="349" spans="1:5" hidden="1" x14ac:dyDescent="0.3">
      <c r="A349" t="s">
        <v>458</v>
      </c>
      <c r="B349" t="e">
        <f>VLOOKUP(A349,Enrollment!A:A,1,FALSE)</f>
        <v>#N/A</v>
      </c>
      <c r="C349" t="str">
        <f>VLOOKUP(A349,Distance!A:A,1,FALSE)</f>
        <v>LANDSCAPE SRV 2</v>
      </c>
      <c r="D349" t="e">
        <f>VLOOKUP(A349,Sector!A:A,1,FALSE)</f>
        <v>#N/A</v>
      </c>
      <c r="E349" t="str">
        <f>VLOOKUP(A349,'new Sector'!A:A,1,0)</f>
        <v>LANDSCAPE SRV 2</v>
      </c>
    </row>
    <row r="350" spans="1:5" hidden="1" x14ac:dyDescent="0.3">
      <c r="A350" t="s">
        <v>459</v>
      </c>
      <c r="B350" t="e">
        <f>VLOOKUP(A350,Enrollment!A:A,1,FALSE)</f>
        <v>#N/A</v>
      </c>
      <c r="C350" t="str">
        <f>VLOOKUP(A350,Distance!A:A,1,FALSE)</f>
        <v>LANDSCAPE SRV STORAGE</v>
      </c>
      <c r="D350" t="e">
        <f>VLOOKUP(A350,Sector!A:A,1,FALSE)</f>
        <v>#N/A</v>
      </c>
      <c r="E350" t="str">
        <f>VLOOKUP(A350,'new Sector'!A:A,1,0)</f>
        <v>LANDSCAPE SRV STORAGE</v>
      </c>
    </row>
    <row r="351" spans="1:5" hidden="1" x14ac:dyDescent="0.3">
      <c r="A351" t="s">
        <v>460</v>
      </c>
      <c r="B351" t="e">
        <f>VLOOKUP(A351,Enrollment!A:A,1,FALSE)</f>
        <v>#N/A</v>
      </c>
      <c r="C351" t="str">
        <f>VLOOKUP(A351,Distance!A:A,1,FALSE)</f>
        <v>MOBILE OFFICE</v>
      </c>
      <c r="D351" t="str">
        <f>VLOOKUP(A351,Sector!A:A,1,FALSE)</f>
        <v>MOBILE OFFICE</v>
      </c>
      <c r="E351" t="str">
        <f>VLOOKUP(A351,'new Sector'!A:A,1,0)</f>
        <v>MOBILE OFFICE</v>
      </c>
    </row>
    <row r="352" spans="1:5" hidden="1" x14ac:dyDescent="0.3">
      <c r="A352" t="s">
        <v>461</v>
      </c>
      <c r="B352" t="e">
        <f>VLOOKUP(A352,Enrollment!A:A,1,FALSE)</f>
        <v>#N/A</v>
      </c>
      <c r="C352" t="str">
        <f>VLOOKUP(A352,Distance!A:A,1,FALSE)</f>
        <v>GEORGE THOMAS CLUBHOUSE</v>
      </c>
      <c r="D352" t="str">
        <f>VLOOKUP(A352,Sector!A:A,1,FALSE)</f>
        <v>GEORGE THOMAS CLUBHOUSE</v>
      </c>
      <c r="E352" t="str">
        <f>VLOOKUP(A352,'new Sector'!A:A,1,0)</f>
        <v>GEORGE THOMAS CLUBHOUSE</v>
      </c>
    </row>
    <row r="353" spans="1:5" hidden="1" x14ac:dyDescent="0.3">
      <c r="A353" t="s">
        <v>462</v>
      </c>
      <c r="B353" t="e">
        <f>VLOOKUP(A353,Enrollment!A:A,1,FALSE)</f>
        <v>#N/A</v>
      </c>
      <c r="C353" t="str">
        <f>VLOOKUP(A353,Distance!A:A,1,FALSE)</f>
        <v>INNOVATION CENTER</v>
      </c>
      <c r="D353" t="str">
        <f>VLOOKUP(A353,Sector!A:A,1,FALSE)</f>
        <v>INNOVATION CENTER</v>
      </c>
      <c r="E353" t="str">
        <f>VLOOKUP(A353,'new Sector'!A:A,1,0)</f>
        <v>INNOVATION CENTER</v>
      </c>
    </row>
    <row r="354" spans="1:5" hidden="1" x14ac:dyDescent="0.3">
      <c r="A354" t="s">
        <v>463</v>
      </c>
      <c r="B354" t="e">
        <f>VLOOKUP(A354,Enrollment!A:A,1,FALSE)</f>
        <v>#N/A</v>
      </c>
      <c r="C354" t="str">
        <f>VLOOKUP(A354,Distance!A:A,1,FALSE)</f>
        <v>GLOBAL NOC BUILDING</v>
      </c>
      <c r="D354" t="str">
        <f>VLOOKUP(A354,Sector!A:A,1,FALSE)</f>
        <v>GLOBAL NOC BUILDING</v>
      </c>
      <c r="E354" t="str">
        <f>VLOOKUP(A354,'new Sector'!A:A,1,0)</f>
        <v>GLOBAL NOC BUILDING</v>
      </c>
    </row>
    <row r="355" spans="1:5" hidden="1" x14ac:dyDescent="0.3">
      <c r="A355" t="s">
        <v>464</v>
      </c>
      <c r="B355" t="e">
        <f>VLOOKUP(A355,Enrollment!A:A,1,FALSE)</f>
        <v>#N/A</v>
      </c>
      <c r="C355" t="str">
        <f>VLOOKUP(A355,Distance!A:A,1,FALSE)</f>
        <v>INTERCOL. ATHL. GYM</v>
      </c>
      <c r="D355" t="str">
        <f>VLOOKUP(A355,Sector!A:A,1,FALSE)</f>
        <v>INTERCOL. ATHL. GYM</v>
      </c>
      <c r="E355" t="str">
        <f>VLOOKUP(A355,'new Sector'!A:A,1,0)</f>
        <v>INTERCOL. ATHL. GYM</v>
      </c>
    </row>
    <row r="356" spans="1:5" hidden="1" x14ac:dyDescent="0.3">
      <c r="A356" t="s">
        <v>465</v>
      </c>
      <c r="B356" t="e">
        <f>VLOOKUP(A356,Enrollment!A:A,1,FALSE)</f>
        <v>#N/A</v>
      </c>
      <c r="C356" t="str">
        <f>VLOOKUP(A356,Distance!A:A,1,FALSE)</f>
        <v>SMITH RESEARCH CENTER</v>
      </c>
      <c r="D356" t="str">
        <f>VLOOKUP(A356,Sector!A:A,1,FALSE)</f>
        <v>SMITH RESEARCH CENTER</v>
      </c>
      <c r="E356" t="str">
        <f>VLOOKUP(A356,'new Sector'!A:A,1,0)</f>
        <v>SMITH RESEARCH CENTER</v>
      </c>
    </row>
    <row r="357" spans="1:5" hidden="1" x14ac:dyDescent="0.3">
      <c r="A357" t="s">
        <v>466</v>
      </c>
      <c r="B357" t="e">
        <f>VLOOKUP(A357,Enrollment!A:A,1,FALSE)</f>
        <v>#N/A</v>
      </c>
      <c r="C357" t="str">
        <f>VLOOKUP(A357,Distance!A:A,1,FALSE)</f>
        <v>CHILDRENS CENTER</v>
      </c>
      <c r="D357" t="str">
        <f>VLOOKUP(A357,Sector!A:A,1,FALSE)</f>
        <v>CHILDRENS CENTER</v>
      </c>
      <c r="E357" t="str">
        <f>VLOOKUP(A357,'new Sector'!A:A,1,0)</f>
        <v>CHILDRENS CENTER</v>
      </c>
    </row>
    <row r="358" spans="1:5" hidden="1" x14ac:dyDescent="0.3">
      <c r="A358" t="s">
        <v>467</v>
      </c>
      <c r="B358" t="e">
        <f>VLOOKUP(A358,Enrollment!A:A,1,FALSE)</f>
        <v>#N/A</v>
      </c>
      <c r="C358" t="str">
        <f>VLOOKUP(A358,Distance!A:A,1,FALSE)</f>
        <v>ROTC SUPPLY CENTER</v>
      </c>
      <c r="D358" t="str">
        <f>VLOOKUP(A358,Sector!A:A,1,FALSE)</f>
        <v>ROTC SUPPLY CENTER</v>
      </c>
      <c r="E358" t="str">
        <f>VLOOKUP(A358,'new Sector'!A:A,1,0)</f>
        <v>ROTC SUPPLY CENTER</v>
      </c>
    </row>
    <row r="359" spans="1:5" hidden="1" x14ac:dyDescent="0.3">
      <c r="A359" t="s">
        <v>468</v>
      </c>
      <c r="B359" t="e">
        <f>VLOOKUP(A359,Enrollment!A:A,1,FALSE)</f>
        <v>#N/A</v>
      </c>
      <c r="C359" t="str">
        <f>VLOOKUP(A359,Distance!A:A,1,FALSE)</f>
        <v>CYBERINFRASTRUCTURE BLDG (CIB)</v>
      </c>
      <c r="D359" t="str">
        <f>VLOOKUP(A359,Sector!A:A,1,FALSE)</f>
        <v>CYBERINFRASTRUCTURE BLDG (CIB)</v>
      </c>
      <c r="E359" t="str">
        <f>VLOOKUP(A359,'new Sector'!A:A,1,0)</f>
        <v>CYBERINFRASTRUCTURE BLDG (CIB)</v>
      </c>
    </row>
    <row r="360" spans="1:5" hidden="1" x14ac:dyDescent="0.3">
      <c r="A360" t="s">
        <v>469</v>
      </c>
      <c r="B360" t="e">
        <f>VLOOKUP(A360,Enrollment!A:A,1,FALSE)</f>
        <v>#N/A</v>
      </c>
      <c r="C360" t="str">
        <f>VLOOKUP(A360,Distance!A:A,1,FALSE)</f>
        <v>DATA CENTER</v>
      </c>
      <c r="D360" t="str">
        <f>VLOOKUP(A360,Sector!A:A,1,FALSE)</f>
        <v>DATA CENTER</v>
      </c>
      <c r="E360" t="str">
        <f>VLOOKUP(A360,'new Sector'!A:A,1,0)</f>
        <v>DATA CENTER</v>
      </c>
    </row>
    <row r="361" spans="1:5" hidden="1" x14ac:dyDescent="0.3">
      <c r="A361" t="s">
        <v>470</v>
      </c>
      <c r="B361" t="e">
        <f>VLOOKUP(A361,Enrollment!A:A,1,FALSE)</f>
        <v>#N/A</v>
      </c>
      <c r="C361" t="str">
        <f>VLOOKUP(A361,Distance!A:A,1,FALSE)</f>
        <v>DISABILITY &amp; COMMUNITY</v>
      </c>
      <c r="D361" t="str">
        <f>VLOOKUP(A361,Sector!A:A,1,FALSE)</f>
        <v>DISABILITY &amp; COMMUNITY</v>
      </c>
      <c r="E361" t="str">
        <f>VLOOKUP(A361,'new Sector'!A:A,1,0)</f>
        <v>DISABILITY &amp; COMMUNITY</v>
      </c>
    </row>
    <row r="362" spans="1:5" hidden="1" x14ac:dyDescent="0.3">
      <c r="A362" t="s">
        <v>131</v>
      </c>
      <c r="B362" t="str">
        <f>VLOOKUP(A362,Enrollment!A:A,1,FALSE)</f>
        <v>THE HEALTH SCIENCES BUILDING</v>
      </c>
      <c r="C362" t="str">
        <f>VLOOKUP(A362,Distance!A:A,1,FALSE)</f>
        <v>THE HEALTH SCIENCES BUILDING</v>
      </c>
      <c r="D362" t="str">
        <f>VLOOKUP(A362,Sector!A:A,1,FALSE)</f>
        <v>THE HEALTH SCIENCES BUILDING</v>
      </c>
      <c r="E362" t="str">
        <f>VLOOKUP(A362,'new Sector'!A:A,1,0)</f>
        <v>THE HEALTH SCIENCES BUILDING</v>
      </c>
    </row>
    <row r="363" spans="1:5" hidden="1" x14ac:dyDescent="0.3">
      <c r="A363" t="s">
        <v>471</v>
      </c>
      <c r="B363" t="e">
        <f>VLOOKUP(A363,Enrollment!A:A,1,FALSE)</f>
        <v>#N/A</v>
      </c>
      <c r="C363" t="str">
        <f>VLOOKUP(A363,Distance!A:A,1,FALSE)</f>
        <v>BART KAUFMAN FIELD</v>
      </c>
      <c r="D363" t="str">
        <f>VLOOKUP(A363,Sector!A:A,1,FALSE)</f>
        <v>BART KAUFMAN FIELD</v>
      </c>
      <c r="E363" t="str">
        <f>VLOOKUP(A363,'new Sector'!A:A,1,0)</f>
        <v>BART KAUFMAN FIELD</v>
      </c>
    </row>
    <row r="364" spans="1:5" hidden="1" x14ac:dyDescent="0.3">
      <c r="A364" t="s">
        <v>472</v>
      </c>
      <c r="B364" t="e">
        <f>VLOOKUP(A364,Enrollment!A:A,1,FALSE)</f>
        <v>#N/A</v>
      </c>
      <c r="C364" t="str">
        <f>VLOOKUP(A364,Distance!A:A,1,FALSE)</f>
        <v>ANDY MOHR FIELD</v>
      </c>
      <c r="D364" t="str">
        <f>VLOOKUP(A364,Sector!A:A,1,FALSE)</f>
        <v>ANDY MOHR FIELD</v>
      </c>
      <c r="E364" t="str">
        <f>VLOOKUP(A364,'new Sector'!A:A,1,0)</f>
        <v>ANDY MOHR FIELD</v>
      </c>
    </row>
    <row r="365" spans="1:5" hidden="1" x14ac:dyDescent="0.3">
      <c r="A365" t="s">
        <v>473</v>
      </c>
      <c r="B365" t="e">
        <f>VLOOKUP(A365,Enrollment!A:A,1,FALSE)</f>
        <v>#N/A</v>
      </c>
      <c r="C365" t="str">
        <f>VLOOKUP(A365,Distance!A:A,1,FALSE)</f>
        <v>MELLENCAMP PAVILION</v>
      </c>
      <c r="D365" t="str">
        <f>VLOOKUP(A365,Sector!A:A,1,FALSE)</f>
        <v>MELLENCAMP PAVILION</v>
      </c>
      <c r="E365" t="str">
        <f>VLOOKUP(A365,'new Sector'!A:A,1,0)</f>
        <v>MELLENCAMP PAVILION</v>
      </c>
    </row>
    <row r="366" spans="1:5" hidden="1" x14ac:dyDescent="0.3">
      <c r="A366" t="s">
        <v>474</v>
      </c>
      <c r="B366" t="e">
        <f>VLOOKUP(A366,Enrollment!A:A,1,FALSE)</f>
        <v>#N/A</v>
      </c>
      <c r="C366" t="str">
        <f>VLOOKUP(A366,Distance!A:A,1,FALSE)</f>
        <v>MARCHING HUNDRED HALL (RAY E CRAMER)</v>
      </c>
      <c r="D366" t="str">
        <f>VLOOKUP(A366,Sector!A:A,1,FALSE)</f>
        <v>MARCHING HUNDRED HALL (RAY E CRAMER)</v>
      </c>
      <c r="E366" t="str">
        <f>VLOOKUP(A366,'new Sector'!A:A,1,0)</f>
        <v>MARCHING HUNDRED HALL (RAY E CRAMER)</v>
      </c>
    </row>
    <row r="367" spans="1:5" hidden="1" x14ac:dyDescent="0.3">
      <c r="A367" t="s">
        <v>475</v>
      </c>
      <c r="B367" t="e">
        <f>VLOOKUP(A367,Enrollment!A:A,1,FALSE)</f>
        <v>#N/A</v>
      </c>
      <c r="C367" t="str">
        <f>VLOOKUP(A367,Distance!A:A,1,FALSE)</f>
        <v>HAYES TRACK STORAGE</v>
      </c>
      <c r="D367" t="str">
        <f>VLOOKUP(A367,Sector!A:A,1,FALSE)</f>
        <v>HAYES TRACK STORAGE</v>
      </c>
      <c r="E367" t="str">
        <f>VLOOKUP(A367,'new Sector'!A:A,1,0)</f>
        <v>HAYES TRACK STORAGE</v>
      </c>
    </row>
    <row r="368" spans="1:5" hidden="1" x14ac:dyDescent="0.3">
      <c r="A368" t="s">
        <v>476</v>
      </c>
      <c r="B368" t="e">
        <f>VLOOKUP(A368,Enrollment!A:A,1,FALSE)</f>
        <v>#N/A</v>
      </c>
      <c r="C368" t="str">
        <f>VLOOKUP(A368,Distance!A:A,1,FALSE)</f>
        <v>HAYES TRACK PRESSBOX</v>
      </c>
      <c r="D368" t="str">
        <f>VLOOKUP(A368,Sector!A:A,1,FALSE)</f>
        <v>HAYES TRACK PRESSBOX</v>
      </c>
      <c r="E368" t="str">
        <f>VLOOKUP(A368,'new Sector'!A:A,1,0)</f>
        <v>HAYES TRACK PRESSBOX</v>
      </c>
    </row>
    <row r="369" spans="1:5" hidden="1" x14ac:dyDescent="0.3">
      <c r="A369" t="s">
        <v>477</v>
      </c>
      <c r="B369" t="e">
        <f>VLOOKUP(A369,Enrollment!A:A,1,FALSE)</f>
        <v>#N/A</v>
      </c>
      <c r="C369" t="str">
        <f>VLOOKUP(A369,Distance!A:A,1,FALSE)</f>
        <v>WILKINSON HALL (VOLLEYBALL/WRESTLING)</v>
      </c>
      <c r="D369" t="str">
        <f>VLOOKUP(A369,Sector!A:A,1,FALSE)</f>
        <v>WILKINSON HALL (VOLLEYBALL/WRESTLING)</v>
      </c>
      <c r="E369" t="str">
        <f>VLOOKUP(A369,'new Sector'!A:A,1,0)</f>
        <v>WILKINSON HALL (VOLLEYBALL/WRESTLING)</v>
      </c>
    </row>
    <row r="370" spans="1:5" hidden="1" x14ac:dyDescent="0.3">
      <c r="A370" t="s">
        <v>478</v>
      </c>
      <c r="B370" t="e">
        <f>VLOOKUP(A370,Enrollment!A:A,1,FALSE)</f>
        <v>#N/A</v>
      </c>
      <c r="C370" t="str">
        <f>VLOOKUP(A370,Distance!A:A,1,FALSE)</f>
        <v>MEMORIAL STADIUM</v>
      </c>
      <c r="D370" t="str">
        <f>VLOOKUP(A370,Sector!A:A,1,FALSE)</f>
        <v>MEMORIAL STADIUM</v>
      </c>
      <c r="E370" t="str">
        <f>VLOOKUP(A370,'new Sector'!A:A,1,0)</f>
        <v>MEMORIAL STADIUM</v>
      </c>
    </row>
    <row r="371" spans="1:5" hidden="1" x14ac:dyDescent="0.3">
      <c r="A371" t="s">
        <v>479</v>
      </c>
      <c r="B371" t="e">
        <f>VLOOKUP(A371,Enrollment!A:A,1,FALSE)</f>
        <v>#N/A</v>
      </c>
      <c r="C371" t="str">
        <f>VLOOKUP(A371,Distance!A:A,1,FALSE)</f>
        <v>TENNIS CENTER</v>
      </c>
      <c r="D371" t="str">
        <f>VLOOKUP(A371,Sector!A:A,1,FALSE)</f>
        <v>TENNIS CENTER</v>
      </c>
      <c r="E371" t="str">
        <f>VLOOKUP(A371,'new Sector'!A:A,1,0)</f>
        <v>TENNIS CENTER</v>
      </c>
    </row>
    <row r="372" spans="1:5" hidden="1" x14ac:dyDescent="0.3">
      <c r="A372" t="s">
        <v>34</v>
      </c>
      <c r="B372" t="str">
        <f>VLOOKUP(A372,Enrollment!A:A,1,FALSE)</f>
        <v>SIMON SKJODT ASSEMBLY HALL</v>
      </c>
      <c r="C372" t="str">
        <f>VLOOKUP(A372,Distance!A:A,1,FALSE)</f>
        <v>SIMON SKJODT ASSEMBLY HALL</v>
      </c>
      <c r="D372" t="str">
        <f>VLOOKUP(A372,Sector!A:A,1,FALSE)</f>
        <v>SIMON SKJODT ASSEMBLY HALL</v>
      </c>
      <c r="E372" t="str">
        <f>VLOOKUP(A372,'new Sector'!A:A,1,0)</f>
        <v>SIMON SKJODT ASSEMBLY HALL</v>
      </c>
    </row>
    <row r="373" spans="1:5" hidden="1" x14ac:dyDescent="0.3">
      <c r="A373" t="s">
        <v>162</v>
      </c>
      <c r="B373" t="str">
        <f>VLOOKUP(A373,Enrollment!A:A,1,FALSE)</f>
        <v>GLADSTEIN FIELDHOUSE</v>
      </c>
      <c r="C373" t="str">
        <f>VLOOKUP(A373,Distance!A:A,1,FALSE)</f>
        <v>GLADSTEIN FIELDHOUSE</v>
      </c>
      <c r="D373" t="str">
        <f>VLOOKUP(A373,Sector!A:A,1,FALSE)</f>
        <v>GLADSTEIN FIELDHOUSE</v>
      </c>
      <c r="E373" t="str">
        <f>VLOOKUP(A373,'new Sector'!A:A,1,0)</f>
        <v>GLADSTEIN FIELDHOUSE</v>
      </c>
    </row>
    <row r="374" spans="1:5" hidden="1" x14ac:dyDescent="0.3">
      <c r="A374" t="s">
        <v>480</v>
      </c>
      <c r="B374" t="e">
        <f>VLOOKUP(A374,Enrollment!A:A,1,FALSE)</f>
        <v>#N/A</v>
      </c>
      <c r="C374" t="str">
        <f>VLOOKUP(A374,Distance!A:A,1,FALSE)</f>
        <v>WILCOX HOUSE</v>
      </c>
      <c r="D374" t="str">
        <f>VLOOKUP(A374,Sector!A:A,1,FALSE)</f>
        <v>WILCOX HOUSE</v>
      </c>
      <c r="E374" t="str">
        <f>VLOOKUP(A374,'new Sector'!A:A,1,0)</f>
        <v>WILCOX HOUSE</v>
      </c>
    </row>
    <row r="375" spans="1:5" hidden="1" x14ac:dyDescent="0.3">
      <c r="A375" t="s">
        <v>481</v>
      </c>
      <c r="B375" t="e">
        <f>VLOOKUP(A375,Enrollment!A:A,1,FALSE)</f>
        <v>#N/A</v>
      </c>
      <c r="C375" t="str">
        <f>VLOOKUP(A375,Distance!A:A,1,FALSE)</f>
        <v>OUTDOOR POOL</v>
      </c>
      <c r="D375" t="str">
        <f>VLOOKUP(A375,Sector!A:A,1,FALSE)</f>
        <v>OUTDOOR POOL</v>
      </c>
      <c r="E375" t="str">
        <f>VLOOKUP(A375,'new Sector'!A:A,1,0)</f>
        <v>OUTDOOR POOL</v>
      </c>
    </row>
    <row r="376" spans="1:5" hidden="1" x14ac:dyDescent="0.3">
      <c r="A376" t="s">
        <v>482</v>
      </c>
      <c r="B376" t="e">
        <f>VLOOKUP(A376,Enrollment!A:A,1,FALSE)</f>
        <v>#N/A</v>
      </c>
      <c r="C376" t="str">
        <f>VLOOKUP(A376,Distance!A:A,1,FALSE)</f>
        <v>HEADLEY SCHOOL</v>
      </c>
      <c r="D376" t="str">
        <f>VLOOKUP(A376,Sector!A:A,1,FALSE)</f>
        <v>HEADLEY SCHOOL</v>
      </c>
      <c r="E376" t="str">
        <f>VLOOKUP(A376,'new Sector'!A:A,1,0)</f>
        <v>HEADLEY SCHOOL</v>
      </c>
    </row>
    <row r="377" spans="1:5" hidden="1" x14ac:dyDescent="0.3">
      <c r="A377" t="s">
        <v>483</v>
      </c>
      <c r="B377" t="e">
        <f>VLOOKUP(A377,Enrollment!A:A,1,FALSE)</f>
        <v>#N/A</v>
      </c>
      <c r="C377" t="str">
        <f>VLOOKUP(A377,Distance!A:A,1,FALSE)</f>
        <v>HEADLEY SCH GARAGE</v>
      </c>
      <c r="D377" t="str">
        <f>VLOOKUP(A377,Sector!A:A,1,FALSE)</f>
        <v>HEADLEY SCH GARAGE</v>
      </c>
      <c r="E377" t="str">
        <f>VLOOKUP(A377,'new Sector'!A:A,1,0)</f>
        <v>HEADLEY SCH GARAGE</v>
      </c>
    </row>
    <row r="378" spans="1:5" hidden="1" x14ac:dyDescent="0.3">
      <c r="A378" t="s">
        <v>484</v>
      </c>
      <c r="B378" t="e">
        <f>VLOOKUP(A378,Enrollment!A:A,1,FALSE)</f>
        <v>#N/A</v>
      </c>
      <c r="C378" t="str">
        <f>VLOOKUP(A378,Distance!A:A,1,FALSE)</f>
        <v>1800 N FEE LN</v>
      </c>
      <c r="D378" t="str">
        <f>VLOOKUP(A378,Sector!A:A,1,FALSE)</f>
        <v>1800 N FEE LN</v>
      </c>
      <c r="E378" t="str">
        <f>VLOOKUP(A378,'new Sector'!A:A,1,0)</f>
        <v>1800 N FEE LN</v>
      </c>
    </row>
    <row r="379" spans="1:5" hidden="1" x14ac:dyDescent="0.3">
      <c r="A379" t="s">
        <v>485</v>
      </c>
      <c r="B379" t="e">
        <f>VLOOKUP(A379,Enrollment!A:A,1,FALSE)</f>
        <v>#N/A</v>
      </c>
      <c r="C379" t="str">
        <f>VLOOKUP(A379,Distance!A:A,1,FALSE)</f>
        <v>1704 N FEE LN</v>
      </c>
      <c r="D379" t="str">
        <f>VLOOKUP(A379,Sector!A:A,1,FALSE)</f>
        <v>1704 N FEE LN</v>
      </c>
      <c r="E379" t="str">
        <f>VLOOKUP(A379,'new Sector'!A:A,1,0)</f>
        <v>1704 N FEE LN</v>
      </c>
    </row>
    <row r="380" spans="1:5" hidden="1" x14ac:dyDescent="0.3">
      <c r="A380" t="s">
        <v>486</v>
      </c>
      <c r="B380" t="e">
        <f>VLOOKUP(A380,Enrollment!A:A,1,FALSE)</f>
        <v>#N/A</v>
      </c>
      <c r="C380" t="str">
        <f>VLOOKUP(A380,Distance!A:A,1,FALSE)</f>
        <v>711 E SR45/46 HOUSE</v>
      </c>
      <c r="D380" t="str">
        <f>VLOOKUP(A380,Sector!A:A,1,FALSE)</f>
        <v>711 E SR45/46 HOUSE</v>
      </c>
      <c r="E380" t="str">
        <f>VLOOKUP(A380,'new Sector'!A:A,1,0)</f>
        <v>711 E SR45/46 HOUSE</v>
      </c>
    </row>
    <row r="381" spans="1:5" hidden="1" x14ac:dyDescent="0.3">
      <c r="A381" t="s">
        <v>487</v>
      </c>
      <c r="B381" t="e">
        <f>VLOOKUP(A381,Enrollment!A:A,1,FALSE)</f>
        <v>#N/A</v>
      </c>
      <c r="C381" t="str">
        <f>VLOOKUP(A381,Distance!A:A,1,FALSE)</f>
        <v>711 E SR45/46 GREENHS</v>
      </c>
      <c r="D381" t="str">
        <f>VLOOKUP(A381,Sector!A:A,1,FALSE)</f>
        <v>711 E SR45/46 GREENHS</v>
      </c>
      <c r="E381" t="str">
        <f>VLOOKUP(A381,'new Sector'!A:A,1,0)</f>
        <v>711 E SR45/46 GREENHS</v>
      </c>
    </row>
    <row r="382" spans="1:5" hidden="1" x14ac:dyDescent="0.3">
      <c r="A382" t="s">
        <v>488</v>
      </c>
      <c r="B382" t="e">
        <f>VLOOKUP(A382,Enrollment!A:A,1,FALSE)</f>
        <v>#N/A</v>
      </c>
      <c r="C382" t="str">
        <f>VLOOKUP(A382,Distance!A:A,1,FALSE)</f>
        <v>1001 E SR 45 46 BYP</v>
      </c>
      <c r="D382" t="str">
        <f>VLOOKUP(A382,Sector!A:A,1,FALSE)</f>
        <v>1001 E SR 45 46 BYP</v>
      </c>
      <c r="E382" t="str">
        <f>VLOOKUP(A382,'new Sector'!A:A,1,0)</f>
        <v>1001 E SR 45 46 BYP</v>
      </c>
    </row>
    <row r="383" spans="1:5" hidden="1" x14ac:dyDescent="0.3">
      <c r="A383" t="s">
        <v>489</v>
      </c>
      <c r="B383" t="e">
        <f>VLOOKUP(A383,Enrollment!A:A,1,FALSE)</f>
        <v>#N/A</v>
      </c>
      <c r="C383" t="str">
        <f>VLOOKUP(A383,Distance!A:A,1,FALSE)</f>
        <v>721 E STATE RD 45/46 BYP</v>
      </c>
      <c r="D383" t="str">
        <f>VLOOKUP(A383,Sector!A:A,1,FALSE)</f>
        <v>721 E STATE RD 45/46 BYP</v>
      </c>
      <c r="E383" t="str">
        <f>VLOOKUP(A383,'new Sector'!A:A,1,0)</f>
        <v>721 E STATE RD 45/46 BYP</v>
      </c>
    </row>
    <row r="384" spans="1:5" hidden="1" x14ac:dyDescent="0.3">
      <c r="A384" t="s">
        <v>490</v>
      </c>
      <c r="B384" t="e">
        <f>VLOOKUP(A384,Enrollment!A:A,1,FALSE)</f>
        <v>#N/A</v>
      </c>
      <c r="C384" t="str">
        <f>VLOOKUP(A384,Distance!A:A,1,FALSE)</f>
        <v>SEMBOWER CONCESSION</v>
      </c>
      <c r="D384" t="str">
        <f>VLOOKUP(A384,Sector!A:A,1,FALSE)</f>
        <v>SEMBOWER CONCESSION</v>
      </c>
      <c r="E384" t="str">
        <f>VLOOKUP(A384,'new Sector'!A:A,1,0)</f>
        <v>SEMBOWER CONCESSION</v>
      </c>
    </row>
    <row r="385" spans="1:5" hidden="1" x14ac:dyDescent="0.3">
      <c r="A385" t="s">
        <v>491</v>
      </c>
      <c r="B385" t="e">
        <f>VLOOKUP(A385,Enrollment!A:A,1,FALSE)</f>
        <v>#N/A</v>
      </c>
      <c r="C385" t="str">
        <f>VLOOKUP(A385,Distance!A:A,1,FALSE)</f>
        <v>SEMBOWER E PRESSBOX</v>
      </c>
      <c r="D385" t="str">
        <f>VLOOKUP(A385,Sector!A:A,1,FALSE)</f>
        <v>SEMBOWER E PRESSBOX</v>
      </c>
      <c r="E385" t="str">
        <f>VLOOKUP(A385,'new Sector'!A:A,1,0)</f>
        <v>SEMBOWER E PRESSBOX</v>
      </c>
    </row>
    <row r="386" spans="1:5" hidden="1" x14ac:dyDescent="0.3">
      <c r="A386" t="s">
        <v>492</v>
      </c>
      <c r="B386" t="e">
        <f>VLOOKUP(A386,Enrollment!A:A,1,FALSE)</f>
        <v>#N/A</v>
      </c>
      <c r="C386" t="str">
        <f>VLOOKUP(A386,Distance!A:A,1,FALSE)</f>
        <v>SEMBOWER W PRESSBOX</v>
      </c>
      <c r="D386" t="str">
        <f>VLOOKUP(A386,Sector!A:A,1,FALSE)</f>
        <v>SEMBOWER W PRESSBOX</v>
      </c>
      <c r="E386" t="str">
        <f>VLOOKUP(A386,'new Sector'!A:A,1,0)</f>
        <v>SEMBOWER W PRESSBOX</v>
      </c>
    </row>
    <row r="387" spans="1:5" hidden="1" x14ac:dyDescent="0.3">
      <c r="A387" t="s">
        <v>493</v>
      </c>
      <c r="B387" t="e">
        <f>VLOOKUP(A387,Enrollment!A:A,1,FALSE)</f>
        <v>#N/A</v>
      </c>
      <c r="C387" t="str">
        <f>VLOOKUP(A387,Distance!A:A,1,FALSE)</f>
        <v>COOK HALL</v>
      </c>
      <c r="D387" t="str">
        <f>VLOOKUP(A387,Sector!A:A,1,FALSE)</f>
        <v>COOK HALL</v>
      </c>
      <c r="E387" t="str">
        <f>VLOOKUP(A387,'new Sector'!A:A,1,0)</f>
        <v>COOK HALL</v>
      </c>
    </row>
    <row r="388" spans="1:5" hidden="1" x14ac:dyDescent="0.3">
      <c r="A388" t="s">
        <v>494</v>
      </c>
      <c r="B388" t="e">
        <f>VLOOKUP(A388,Enrollment!A:A,1,FALSE)</f>
        <v>#N/A</v>
      </c>
      <c r="C388" t="str">
        <f>VLOOKUP(A388,Distance!A:A,1,FALSE)</f>
        <v>GOLF MAINTENANCE</v>
      </c>
      <c r="D388" t="str">
        <f>VLOOKUP(A388,Sector!A:A,1,FALSE)</f>
        <v>GOLF MAINTENANCE</v>
      </c>
      <c r="E388" t="str">
        <f>VLOOKUP(A388,'new Sector'!A:A,1,0)</f>
        <v>GOLF MAINTENANCE</v>
      </c>
    </row>
    <row r="389" spans="1:5" hidden="1" x14ac:dyDescent="0.3">
      <c r="A389" t="s">
        <v>495</v>
      </c>
      <c r="B389" t="e">
        <f>VLOOKUP(A389,Enrollment!A:A,1,FALSE)</f>
        <v>#N/A</v>
      </c>
      <c r="C389" t="str">
        <f>VLOOKUP(A389,Distance!A:A,1,FALSE)</f>
        <v>GOLF MAINT STORAGE</v>
      </c>
      <c r="D389" t="e">
        <f>VLOOKUP(A389,Sector!A:A,1,FALSE)</f>
        <v>#N/A</v>
      </c>
      <c r="E389" t="str">
        <f>VLOOKUP(A389,'new Sector'!A:A,1,0)</f>
        <v>GOLF MAINT STORAGE</v>
      </c>
    </row>
    <row r="390" spans="1:5" hidden="1" x14ac:dyDescent="0.3">
      <c r="A390" t="s">
        <v>496</v>
      </c>
      <c r="B390" t="e">
        <f>VLOOKUP(A390,Enrollment!A:A,1,FALSE)</f>
        <v>#N/A</v>
      </c>
      <c r="C390" t="str">
        <f>VLOOKUP(A390,Distance!A:A,1,FALSE)</f>
        <v>GOLF PUMPHOUSE</v>
      </c>
      <c r="D390" t="str">
        <f>VLOOKUP(A390,Sector!A:A,1,FALSE)</f>
        <v>GOLF PUMPHOUSE</v>
      </c>
      <c r="E390" t="str">
        <f>VLOOKUP(A390,'new Sector'!A:A,1,0)</f>
        <v>GOLF PUMPHOUSE</v>
      </c>
    </row>
    <row r="391" spans="1:5" hidden="1" x14ac:dyDescent="0.3">
      <c r="A391" t="s">
        <v>497</v>
      </c>
      <c r="B391" t="e">
        <f>VLOOKUP(A391,Enrollment!A:A,1,FALSE)</f>
        <v>#N/A</v>
      </c>
      <c r="C391" t="str">
        <f>VLOOKUP(A391,Distance!A:A,1,FALSE)</f>
        <v>WEATHERS GOLF TEAM CENTER</v>
      </c>
      <c r="D391" t="str">
        <f>VLOOKUP(A391,Sector!A:A,1,FALSE)</f>
        <v>WEATHERS GOLF TEAM CENTER</v>
      </c>
      <c r="E391" t="str">
        <f>VLOOKUP(A391,'new Sector'!A:A,1,0)</f>
        <v>WEATHERS GOLF TEAM CENTER</v>
      </c>
    </row>
    <row r="392" spans="1:5" hidden="1" x14ac:dyDescent="0.3">
      <c r="A392" t="s">
        <v>498</v>
      </c>
      <c r="B392" t="e">
        <f>VLOOKUP(A392,Enrollment!A:A,1,FALSE)</f>
        <v>#N/A</v>
      </c>
      <c r="C392" t="str">
        <f>VLOOKUP(A392,Distance!A:A,1,FALSE)</f>
        <v>IU GOLF TEACHING AND TRAINING CENTER</v>
      </c>
      <c r="D392" t="str">
        <f>VLOOKUP(A392,Sector!A:A,1,FALSE)</f>
        <v>IU GOLF TEACHING AND TRAINING CENTER</v>
      </c>
      <c r="E392" t="str">
        <f>VLOOKUP(A392,'new Sector'!A:A,1,0)</f>
        <v>IU GOLF TEACHING AND TRAINING CENTER</v>
      </c>
    </row>
    <row r="393" spans="1:5" hidden="1" x14ac:dyDescent="0.3">
      <c r="A393" t="s">
        <v>499</v>
      </c>
      <c r="B393" t="e">
        <f>VLOOKUP(A393,Enrollment!A:A,1,FALSE)</f>
        <v>#N/A</v>
      </c>
      <c r="C393" t="str">
        <f>VLOOKUP(A393,Distance!A:A,1,FALSE)</f>
        <v>MULTIDISCIPLINARY ENG AND SCI HALL-MESH</v>
      </c>
      <c r="D393" t="str">
        <f>VLOOKUP(A393,Sector!A:A,1,FALSE)</f>
        <v>MULTIDISCIPLINARY ENG AND SCI HALL-MESH</v>
      </c>
      <c r="E393" t="str">
        <f>VLOOKUP(A393,'new Sector'!A:A,1,0)</f>
        <v>MULTIDISCIPLINARY ENG AND SCI HALL-MESH</v>
      </c>
    </row>
    <row r="394" spans="1:5" hidden="1" x14ac:dyDescent="0.3">
      <c r="A394" t="s">
        <v>500</v>
      </c>
      <c r="B394" t="e">
        <f>VLOOKUP(A394,Enrollment!A:A,1,FALSE)</f>
        <v>#N/A</v>
      </c>
      <c r="C394" t="str">
        <f>VLOOKUP(A394,Distance!A:A,1,FALSE)</f>
        <v>MESH STORAGE</v>
      </c>
      <c r="D394" t="str">
        <f>VLOOKUP(A394,Sector!A:A,1,FALSE)</f>
        <v>MESH STORAGE</v>
      </c>
      <c r="E394" t="str">
        <f>VLOOKUP(A394,'new Sector'!A:A,1,0)</f>
        <v>MESH STORAGE</v>
      </c>
    </row>
    <row r="395" spans="1:5" hidden="1" x14ac:dyDescent="0.3">
      <c r="A395" t="s">
        <v>501</v>
      </c>
      <c r="B395" t="e">
        <f>VLOOKUP(A395,Enrollment!A:A,1,FALSE)</f>
        <v>#N/A</v>
      </c>
      <c r="C395" t="str">
        <f>VLOOKUP(A395,Distance!A:A,1,FALSE)</f>
        <v>MESH STOR2</v>
      </c>
      <c r="D395" t="str">
        <f>VLOOKUP(A395,Sector!A:A,1,FALSE)</f>
        <v>MESH STOR2</v>
      </c>
      <c r="E395" t="str">
        <f>VLOOKUP(A395,'new Sector'!A:A,1,0)</f>
        <v>MESH STOR2</v>
      </c>
    </row>
    <row r="396" spans="1:5" hidden="1" x14ac:dyDescent="0.3">
      <c r="A396" t="s">
        <v>502</v>
      </c>
      <c r="B396" t="e">
        <f>VLOOKUP(A396,Enrollment!A:A,1,FALSE)</f>
        <v>#N/A</v>
      </c>
      <c r="C396" t="str">
        <f>VLOOKUP(A396,Distance!A:A,1,FALSE)</f>
        <v>ARMSTRONG STADIUM / TARDY CENTER</v>
      </c>
      <c r="D396" t="e">
        <f>VLOOKUP(A396,Sector!A:A,1,FALSE)</f>
        <v>#N/A</v>
      </c>
      <c r="E396" t="str">
        <f>VLOOKUP(A396,'new Sector'!A:A,1,0)</f>
        <v>ARMSTRONG STADIUM / TARDY CENTER</v>
      </c>
    </row>
    <row r="397" spans="1:5" hidden="1" x14ac:dyDescent="0.3">
      <c r="A397" t="s">
        <v>503</v>
      </c>
      <c r="B397" t="e">
        <f>VLOOKUP(A397,Enrollment!A:A,1,FALSE)</f>
        <v>#N/A</v>
      </c>
      <c r="C397" t="str">
        <f>VLOOKUP(A397,Distance!A:A,1,FALSE)</f>
        <v>ARMSTRONG PRESSBOX</v>
      </c>
      <c r="D397" t="str">
        <f>VLOOKUP(A397,Sector!A:A,1,FALSE)</f>
        <v>ARMSTRONG PRESSBOX</v>
      </c>
      <c r="E397" t="str">
        <f>VLOOKUP(A397,'new Sector'!A:A,1,0)</f>
        <v>ARMSTRONG PRESSBOX</v>
      </c>
    </row>
    <row r="398" spans="1:5" hidden="1" x14ac:dyDescent="0.3">
      <c r="A398" t="s">
        <v>504</v>
      </c>
      <c r="B398" t="e">
        <f>VLOOKUP(A398,Enrollment!A:A,1,FALSE)</f>
        <v>#N/A</v>
      </c>
      <c r="C398" t="str">
        <f>VLOOKUP(A398,Distance!A:A,1,FALSE)</f>
        <v>ARMSTRONG CONCESSIONS/RESTROOMS</v>
      </c>
      <c r="D398" t="str">
        <f>VLOOKUP(A398,Sector!A:A,1,FALSE)</f>
        <v>ARMSTRONG CONCESSIONS/RESTROOMS</v>
      </c>
      <c r="E398" t="str">
        <f>VLOOKUP(A398,'new Sector'!A:A,1,0)</f>
        <v>ARMSTRONG CONCESSIONS/RESTROOMS</v>
      </c>
    </row>
    <row r="399" spans="1:5" hidden="1" x14ac:dyDescent="0.3">
      <c r="A399" t="s">
        <v>505</v>
      </c>
      <c r="B399" t="e">
        <f>VLOOKUP(A399,Enrollment!A:A,1,FALSE)</f>
        <v>#N/A</v>
      </c>
      <c r="C399" t="str">
        <f>VLOOKUP(A399,Distance!A:A,1,FALSE)</f>
        <v>CIRCLE OF CHAMPIONS</v>
      </c>
      <c r="D399" t="str">
        <f>VLOOKUP(A399,Sector!A:A,1,FALSE)</f>
        <v>CIRCLE OF CHAMPIONS</v>
      </c>
      <c r="E399" t="str">
        <f>VLOOKUP(A399,'new Sector'!A:A,1,0)</f>
        <v>CIRCLE OF CHAMPIONS</v>
      </c>
    </row>
    <row r="400" spans="1:5" hidden="1" x14ac:dyDescent="0.3">
      <c r="A400" t="s">
        <v>506</v>
      </c>
      <c r="B400" t="e">
        <f>VLOOKUP(A400,Enrollment!A:A,1,FALSE)</f>
        <v>#N/A</v>
      </c>
      <c r="C400" t="str">
        <f>VLOOKUP(A400,Distance!A:A,1,FALSE)</f>
        <v>IRELAND FAMILY FIELDHOUSE</v>
      </c>
      <c r="D400" t="str">
        <f>VLOOKUP(A400,Sector!A:A,1,FALSE)</f>
        <v>IRELAND FAMILY FIELDHOUSE</v>
      </c>
      <c r="E400" t="str">
        <f>VLOOKUP(A400,'new Sector'!A:A,1,0)</f>
        <v>IRELAND FAMILY FIELDHOUSE</v>
      </c>
    </row>
    <row r="401" spans="1:5" hidden="1" x14ac:dyDescent="0.3">
      <c r="A401" t="s">
        <v>507</v>
      </c>
      <c r="B401" t="e">
        <f>VLOOKUP(A401,Enrollment!A:A,1,FALSE)</f>
        <v>#N/A</v>
      </c>
      <c r="C401" t="str">
        <f>VLOOKUP(A401,Distance!A:A,1,FALSE)</f>
        <v>FOOTBALL STORAGE</v>
      </c>
      <c r="D401" t="str">
        <f>VLOOKUP(A401,Sector!A:A,1,FALSE)</f>
        <v>FOOTBALL STORAGE</v>
      </c>
      <c r="E401" t="str">
        <f>VLOOKUP(A401,'new Sector'!A:A,1,0)</f>
        <v>FOOTBALL STORAGE</v>
      </c>
    </row>
    <row r="402" spans="1:5" hidden="1" x14ac:dyDescent="0.3">
      <c r="A402" t="s">
        <v>508</v>
      </c>
      <c r="B402" t="e">
        <f>VLOOKUP(A402,Enrollment!A:A,1,FALSE)</f>
        <v>#N/A</v>
      </c>
      <c r="C402" t="str">
        <f>VLOOKUP(A402,Distance!A:A,1,FALSE)</f>
        <v>ALF III</v>
      </c>
      <c r="D402" t="str">
        <f>VLOOKUP(A402,Sector!A:A,1,FALSE)</f>
        <v>ALF III</v>
      </c>
      <c r="E402" t="str">
        <f>VLOOKUP(A402,'new Sector'!A:A,1,0)</f>
        <v>ALF III</v>
      </c>
    </row>
    <row r="403" spans="1:5" hidden="1" x14ac:dyDescent="0.3">
      <c r="A403" t="s">
        <v>509</v>
      </c>
      <c r="B403" t="e">
        <f>VLOOKUP(A403,Enrollment!A:A,1,FALSE)</f>
        <v>#N/A</v>
      </c>
      <c r="C403" t="str">
        <f>VLOOKUP(A403,Distance!A:A,1,FALSE)</f>
        <v>ALF-RUTH LILLY AUXILIARY LIBRARY</v>
      </c>
      <c r="D403" t="str">
        <f>VLOOKUP(A403,Sector!A:A,1,FALSE)</f>
        <v>ALF-RUTH LILLY AUXILIARY LIBRARY</v>
      </c>
      <c r="E403" t="str">
        <f>VLOOKUP(A403,'new Sector'!A:A,1,0)</f>
        <v>ALF-RUTH LILLY AUXILIARY LIBRARY</v>
      </c>
    </row>
    <row r="404" spans="1:5" hidden="1" x14ac:dyDescent="0.3">
      <c r="A404" t="s">
        <v>510</v>
      </c>
      <c r="B404" t="e">
        <f>VLOOKUP(A404,Enrollment!A:A,1,FALSE)</f>
        <v>#N/A</v>
      </c>
      <c r="C404" t="str">
        <f>VLOOKUP(A404,Distance!A:A,1,FALSE)</f>
        <v>IU WAREHOUSE</v>
      </c>
      <c r="D404" t="str">
        <f>VLOOKUP(A404,Sector!A:A,1,FALSE)</f>
        <v>IU WAREHOUSE</v>
      </c>
      <c r="E404" t="str">
        <f>VLOOKUP(A404,'new Sector'!A:A,1,0)</f>
        <v>IU WAREHOUSE</v>
      </c>
    </row>
    <row r="405" spans="1:5" x14ac:dyDescent="0.3">
      <c r="A405" t="s">
        <v>511</v>
      </c>
      <c r="B405" t="e">
        <f>VLOOKUP(A405,Enrollment!A:A,1,FALSE)</f>
        <v>#N/A</v>
      </c>
      <c r="C405" t="str">
        <f>VLOOKUP(A405,Distance!A:A,1,FALSE)</f>
        <v>RESEARCH &amp; TEACHING PRESERVE</v>
      </c>
      <c r="D405" t="e">
        <f>VLOOKUP(A405,Sector!A:A,1,FALSE)</f>
        <v>#N/A</v>
      </c>
      <c r="E405" t="e">
        <f>VLOOKUP(A405,'new Sector'!A:A,1,0)</f>
        <v>#N/A</v>
      </c>
    </row>
    <row r="406" spans="1:5" hidden="1" x14ac:dyDescent="0.3">
      <c r="A406" t="s">
        <v>512</v>
      </c>
      <c r="B406" t="e">
        <f>VLOOKUP(A406,Enrollment!A:A,1,FALSE)</f>
        <v>#N/A</v>
      </c>
      <c r="C406" t="str">
        <f>VLOOKUP(A406,Distance!A:A,1,FALSE)</f>
        <v>MOTOR POOL</v>
      </c>
      <c r="D406" t="str">
        <f>VLOOKUP(A406,Sector!A:A,1,FALSE)</f>
        <v>MOTOR POOL</v>
      </c>
      <c r="E406" t="str">
        <f>VLOOKUP(A406,'new Sector'!A:A,1,0)</f>
        <v>MOTOR POOL</v>
      </c>
    </row>
    <row r="407" spans="1:5" x14ac:dyDescent="0.3">
      <c r="A407" t="s">
        <v>513</v>
      </c>
      <c r="B407" t="e">
        <f>VLOOKUP(A407,Enrollment!A:A,1,FALSE)</f>
        <v>#N/A</v>
      </c>
      <c r="C407" t="str">
        <f>VLOOKUP(A407,Distance!A:A,1,FALSE)</f>
        <v>2610 N HEADLEY RD</v>
      </c>
      <c r="D407" t="e">
        <f>VLOOKUP(A407,Sector!A:A,1,FALSE)</f>
        <v>#N/A</v>
      </c>
      <c r="E407" t="e">
        <f>VLOOKUP(A407,'new Sector'!A:A,1,0)</f>
        <v>#N/A</v>
      </c>
    </row>
    <row r="408" spans="1:5" x14ac:dyDescent="0.3">
      <c r="A408" t="s">
        <v>514</v>
      </c>
      <c r="B408" t="e">
        <f>VLOOKUP(A408,Enrollment!A:A,1,FALSE)</f>
        <v>#N/A</v>
      </c>
      <c r="C408" t="str">
        <f>VLOOKUP(A408,Distance!A:A,1,FALSE)</f>
        <v>2610 HEADLEY GARAGE</v>
      </c>
      <c r="D408" t="e">
        <f>VLOOKUP(A408,Sector!A:A,1,FALSE)</f>
        <v>#N/A</v>
      </c>
      <c r="E408" t="e">
        <f>VLOOKUP(A408,'new Sector'!A:A,1,0)</f>
        <v>#N/A</v>
      </c>
    </row>
    <row r="409" spans="1:5" hidden="1" x14ac:dyDescent="0.3">
      <c r="A409" t="s">
        <v>515</v>
      </c>
      <c r="B409" t="e">
        <f>VLOOKUP(A409,Enrollment!A:A,1,FALSE)</f>
        <v>#N/A</v>
      </c>
      <c r="C409" t="str">
        <f>VLOOKUP(A409,Distance!A:A,1,FALSE)</f>
        <v>2204 N HEADLEY RD</v>
      </c>
      <c r="D409" t="str">
        <f>VLOOKUP(A409,Sector!A:A,1,FALSE)</f>
        <v>2204 N HEADLEY RD</v>
      </c>
      <c r="E409" t="str">
        <f>VLOOKUP(A409,'new Sector'!A:A,1,0)</f>
        <v>2204 N HEADLEY RD</v>
      </c>
    </row>
    <row r="410" spans="1:5" hidden="1" x14ac:dyDescent="0.3">
      <c r="A410" t="s">
        <v>516</v>
      </c>
      <c r="B410" t="e">
        <f>VLOOKUP(A410,Enrollment!A:A,1,FALSE)</f>
        <v>#N/A</v>
      </c>
      <c r="C410" t="str">
        <f>VLOOKUP(A410,Distance!A:A,1,FALSE)</f>
        <v>LANDSCAPE STORAGE 2</v>
      </c>
      <c r="D410" t="e">
        <f>VLOOKUP(A410,Sector!A:A,1,FALSE)</f>
        <v>#N/A</v>
      </c>
      <c r="E410" t="str">
        <f>VLOOKUP(A410,'new Sector'!A:A,1,0)</f>
        <v>LANDSCAPE STORAGE 2</v>
      </c>
    </row>
    <row r="411" spans="1:5" hidden="1" x14ac:dyDescent="0.3">
      <c r="A411" t="s">
        <v>517</v>
      </c>
      <c r="B411" t="e">
        <f>VLOOKUP(A411,Enrollment!A:A,1,FALSE)</f>
        <v>#N/A</v>
      </c>
      <c r="C411" t="str">
        <f>VLOOKUP(A411,Distance!A:A,1,FALSE)</f>
        <v>1203 E MATLOCK RD</v>
      </c>
      <c r="D411" t="str">
        <f>VLOOKUP(A411,Sector!A:A,1,FALSE)</f>
        <v>1203 E MATLOCK RD</v>
      </c>
      <c r="E411" t="str">
        <f>VLOOKUP(A411,'new Sector'!A:A,1,0)</f>
        <v>1203 E MATLOCK RD</v>
      </c>
    </row>
    <row r="412" spans="1:5" hidden="1" x14ac:dyDescent="0.3">
      <c r="A412" t="s">
        <v>518</v>
      </c>
      <c r="B412" t="e">
        <f>VLOOKUP(A412,Enrollment!A:A,1,FALSE)</f>
        <v>#N/A</v>
      </c>
      <c r="C412" t="str">
        <f>VLOOKUP(A412,Distance!A:A,1,FALSE)</f>
        <v>1209 E MATLOCK RD</v>
      </c>
      <c r="D412" t="str">
        <f>VLOOKUP(A412,Sector!A:A,1,FALSE)</f>
        <v>1209 E MATLOCK RD</v>
      </c>
      <c r="E412" t="str">
        <f>VLOOKUP(A412,'new Sector'!A:A,1,0)</f>
        <v>1209 E MATLOCK RD</v>
      </c>
    </row>
    <row r="413" spans="1:5" hidden="1" x14ac:dyDescent="0.3">
      <c r="A413" t="s">
        <v>519</v>
      </c>
      <c r="B413" t="e">
        <f>VLOOKUP(A413,Enrollment!A:A,1,FALSE)</f>
        <v>#N/A</v>
      </c>
      <c r="C413" t="str">
        <f>VLOOKUP(A413,Distance!A:A,1,FALSE)</f>
        <v>SERVICE BLDG</v>
      </c>
      <c r="D413" t="str">
        <f>VLOOKUP(A413,Sector!A:A,1,FALSE)</f>
        <v>SERVICE BLDG</v>
      </c>
      <c r="E413" t="str">
        <f>VLOOKUP(A413,'new Sector'!A:A,1,0)</f>
        <v>SERVICE BLDG</v>
      </c>
    </row>
    <row r="414" spans="1:5" hidden="1" x14ac:dyDescent="0.3">
      <c r="A414" t="s">
        <v>520</v>
      </c>
      <c r="B414" t="e">
        <f>VLOOKUP(A414,Enrollment!A:A,1,FALSE)</f>
        <v>#N/A</v>
      </c>
      <c r="C414" t="str">
        <f>VLOOKUP(A414,Distance!A:A,1,FALSE)</f>
        <v>1105 E ATWATER AVE</v>
      </c>
      <c r="D414" t="str">
        <f>VLOOKUP(A414,Sector!A:A,1,FALSE)</f>
        <v>1105 E ATWATER AVE</v>
      </c>
      <c r="E414" t="str">
        <f>VLOOKUP(A414,'new Sector'!A:A,1,0)</f>
        <v>1105 E ATWATER AVE</v>
      </c>
    </row>
    <row r="415" spans="1:5" hidden="1" x14ac:dyDescent="0.3">
      <c r="A415" t="s">
        <v>521</v>
      </c>
      <c r="B415" t="e">
        <f>VLOOKUP(A415,Enrollment!A:A,1,FALSE)</f>
        <v>#N/A</v>
      </c>
      <c r="C415" t="str">
        <f>VLOOKUP(A415,Distance!A:A,1,FALSE)</f>
        <v>1211 E ATWATER AVE</v>
      </c>
      <c r="D415" t="str">
        <f>VLOOKUP(A415,Sector!A:A,1,FALSE)</f>
        <v>1211 E ATWATER AVE</v>
      </c>
      <c r="E415" t="str">
        <f>VLOOKUP(A415,'new Sector'!A:A,1,0)</f>
        <v>1211 E ATWATER AVE</v>
      </c>
    </row>
    <row r="416" spans="1:5" hidden="1" x14ac:dyDescent="0.3">
      <c r="A416" t="s">
        <v>522</v>
      </c>
      <c r="B416" t="e">
        <f>VLOOKUP(A416,Enrollment!A:A,1,FALSE)</f>
        <v>#N/A</v>
      </c>
      <c r="C416" t="str">
        <f>VLOOKUP(A416,Distance!A:A,1,FALSE)</f>
        <v>JOURNAL AMERICAN HISTORY</v>
      </c>
      <c r="D416" t="str">
        <f>VLOOKUP(A416,Sector!A:A,1,FALSE)</f>
        <v>JOURNAL AMERICAN HISTORY</v>
      </c>
      <c r="E416" t="str">
        <f>VLOOKUP(A416,'new Sector'!A:A,1,0)</f>
        <v>JOURNAL AMERICAN HISTORY</v>
      </c>
    </row>
    <row r="417" spans="1:5" hidden="1" x14ac:dyDescent="0.3">
      <c r="A417" t="s">
        <v>523</v>
      </c>
      <c r="B417" t="e">
        <f>VLOOKUP(A417,Enrollment!A:A,1,FALSE)</f>
        <v>#N/A</v>
      </c>
      <c r="C417" t="str">
        <f>VLOOKUP(A417,Distance!A:A,1,FALSE)</f>
        <v>1217 E ATWATER</v>
      </c>
      <c r="D417" t="str">
        <f>VLOOKUP(A417,Sector!A:A,1,FALSE)</f>
        <v>1217 E ATWATER</v>
      </c>
      <c r="E417" t="str">
        <f>VLOOKUP(A417,'new Sector'!A:A,1,0)</f>
        <v>1217 E ATWATER</v>
      </c>
    </row>
    <row r="418" spans="1:5" hidden="1" x14ac:dyDescent="0.3">
      <c r="A418" t="s">
        <v>524</v>
      </c>
      <c r="B418" t="e">
        <f>VLOOKUP(A418,Enrollment!A:A,1,FALSE)</f>
        <v>#N/A</v>
      </c>
      <c r="C418" t="str">
        <f>VLOOKUP(A418,Distance!A:A,1,FALSE)</f>
        <v>920 E ATWATER AVE</v>
      </c>
      <c r="D418" t="str">
        <f>VLOOKUP(A418,Sector!A:A,1,FALSE)</f>
        <v>920 E ATWATER AVE</v>
      </c>
      <c r="E418" t="str">
        <f>VLOOKUP(A418,'new Sector'!A:A,1,0)</f>
        <v>920 E ATWATER AVE</v>
      </c>
    </row>
    <row r="419" spans="1:5" hidden="1" x14ac:dyDescent="0.3">
      <c r="A419" t="s">
        <v>525</v>
      </c>
      <c r="B419" t="e">
        <f>VLOOKUP(A419,Enrollment!A:A,1,FALSE)</f>
        <v>#N/A</v>
      </c>
      <c r="C419" t="str">
        <f>VLOOKUP(A419,Distance!A:A,1,FALSE)</f>
        <v>1125 E ATWATER AVE</v>
      </c>
      <c r="D419" t="e">
        <f>VLOOKUP(A419,Sector!A:A,1,FALSE)</f>
        <v>#N/A</v>
      </c>
      <c r="E419" t="str">
        <f>VLOOKUP(A419,'new Sector'!A:A,1,0)</f>
        <v>1125 E ATWATER AVE</v>
      </c>
    </row>
    <row r="420" spans="1:5" hidden="1" x14ac:dyDescent="0.3">
      <c r="A420" t="s">
        <v>601</v>
      </c>
      <c r="B420" t="e">
        <f>VLOOKUP(A420,Enrollment!A:A,1,FALSE)</f>
        <v>#N/A</v>
      </c>
      <c r="C420" t="str">
        <f>VLOOKUP(A420,Distance!A:A,1,FALSE)</f>
        <v>914 E ATWATER AVE</v>
      </c>
      <c r="D420" t="str">
        <f>VLOOKUP(A420,Sector!A:A,1,FALSE)</f>
        <v>914 E ATWATER AVE</v>
      </c>
      <c r="E420" t="str">
        <f>VLOOKUP(A420,'new Sector'!A:A,1,0)</f>
        <v>914 E ATWATER AVE</v>
      </c>
    </row>
    <row r="421" spans="1:5" hidden="1" x14ac:dyDescent="0.3">
      <c r="A421" t="s">
        <v>526</v>
      </c>
      <c r="B421" t="e">
        <f>VLOOKUP(A421,Enrollment!A:A,1,FALSE)</f>
        <v>#N/A</v>
      </c>
      <c r="C421" t="str">
        <f>VLOOKUP(A421,Distance!A:A,1,FALSE)</f>
        <v>1211.5 E ATWATER AVE</v>
      </c>
      <c r="D421" t="str">
        <f>VLOOKUP(A421,Sector!A:A,1,FALSE)</f>
        <v>1211.5 E ATWATER AVE</v>
      </c>
      <c r="E421" t="str">
        <f>VLOOKUP(A421,'new Sector'!A:A,1,0)</f>
        <v>1211.5 E ATWATER AVE</v>
      </c>
    </row>
    <row r="422" spans="1:5" hidden="1" x14ac:dyDescent="0.3">
      <c r="A422" t="s">
        <v>615</v>
      </c>
      <c r="B422" t="e">
        <f>VLOOKUP(A422,Enrollment!A:A,1,FALSE)</f>
        <v>#N/A</v>
      </c>
      <c r="C422" t="str">
        <f>VLOOKUP(A422,Distance!A:A,1,FALSE)</f>
        <v>1127 E ATWATER AVE</v>
      </c>
      <c r="D422" t="e">
        <f>VLOOKUP(A422,Sector!A:A,1,FALSE)</f>
        <v>#N/A</v>
      </c>
      <c r="E422" t="str">
        <f>VLOOKUP(A422,'new Sector'!A:A,1,0)</f>
        <v>1127 E ATWATER AVE</v>
      </c>
    </row>
    <row r="423" spans="1:5" hidden="1" x14ac:dyDescent="0.3">
      <c r="A423" t="s">
        <v>527</v>
      </c>
      <c r="B423" t="e">
        <f>VLOOKUP(A423,Enrollment!A:A,1,FALSE)</f>
        <v>#N/A</v>
      </c>
      <c r="C423" t="str">
        <f>VLOOKUP(A423,Distance!A:A,1,FALSE)</f>
        <v>1129 E ATWATER AVE</v>
      </c>
      <c r="D423" t="str">
        <f>VLOOKUP(A423,Sector!A:A,1,FALSE)</f>
        <v>1129 E ATWATER AVE</v>
      </c>
      <c r="E423" t="str">
        <f>VLOOKUP(A423,'new Sector'!A:A,1,0)</f>
        <v>1129 E ATWATER AVE</v>
      </c>
    </row>
    <row r="424" spans="1:5" hidden="1" x14ac:dyDescent="0.3">
      <c r="A424" t="s">
        <v>528</v>
      </c>
      <c r="B424" t="e">
        <f>VLOOKUP(A424,Enrollment!A:A,1,FALSE)</f>
        <v>#N/A</v>
      </c>
      <c r="C424" t="str">
        <f>VLOOKUP(A424,Distance!A:A,1,FALSE)</f>
        <v>1103 E ATWATER AVE</v>
      </c>
      <c r="D424" t="str">
        <f>VLOOKUP(A424,Sector!A:A,1,FALSE)</f>
        <v>1103 E ATWATER AVE</v>
      </c>
      <c r="E424" t="str">
        <f>VLOOKUP(A424,'new Sector'!A:A,1,0)</f>
        <v>1103 E ATWATER AVE</v>
      </c>
    </row>
    <row r="425" spans="1:5" hidden="1" x14ac:dyDescent="0.3">
      <c r="A425" t="s">
        <v>529</v>
      </c>
      <c r="B425" t="e">
        <f>VLOOKUP(A425,Enrollment!A:A,1,FALSE)</f>
        <v>#N/A</v>
      </c>
      <c r="C425" t="str">
        <f>VLOOKUP(A425,Distance!A:A,1,FALSE)</f>
        <v>1015 E ATWATER AVE</v>
      </c>
      <c r="D425" t="str">
        <f>VLOOKUP(A425,Sector!A:A,1,FALSE)</f>
        <v>1015 E ATWATER AVE</v>
      </c>
      <c r="E425" t="str">
        <f>VLOOKUP(A425,'new Sector'!A:A,1,0)</f>
        <v>1015 E ATWATER AVE</v>
      </c>
    </row>
    <row r="426" spans="1:5" hidden="1" x14ac:dyDescent="0.3">
      <c r="A426" t="s">
        <v>530</v>
      </c>
      <c r="B426" t="e">
        <f>VLOOKUP(A426,Enrollment!A:A,1,FALSE)</f>
        <v>#N/A</v>
      </c>
      <c r="C426" t="str">
        <f>VLOOKUP(A426,Distance!A:A,1,FALSE)</f>
        <v>1200 E ATWATER AVE</v>
      </c>
      <c r="D426" t="str">
        <f>VLOOKUP(A426,Sector!A:A,1,FALSE)</f>
        <v>1200 E ATWATER AVE</v>
      </c>
      <c r="E426" t="str">
        <f>VLOOKUP(A426,'new Sector'!A:A,1,0)</f>
        <v>1200 E ATWATER AVE</v>
      </c>
    </row>
    <row r="427" spans="1:5" hidden="1" x14ac:dyDescent="0.3">
      <c r="A427" t="s">
        <v>531</v>
      </c>
      <c r="B427" t="e">
        <f>VLOOKUP(A427,Enrollment!A:A,1,FALSE)</f>
        <v>#N/A</v>
      </c>
      <c r="C427" t="str">
        <f>VLOOKUP(A427,Distance!A:A,1,FALSE)</f>
        <v>1220 E ATWATER AVE</v>
      </c>
      <c r="D427" t="str">
        <f>VLOOKUP(A427,Sector!A:A,1,FALSE)</f>
        <v>1220 E ATWATER AVE</v>
      </c>
      <c r="E427" t="str">
        <f>VLOOKUP(A427,'new Sector'!A:A,1,0)</f>
        <v>1220 E ATWATER AVE</v>
      </c>
    </row>
    <row r="428" spans="1:5" hidden="1" x14ac:dyDescent="0.3">
      <c r="A428" t="s">
        <v>532</v>
      </c>
      <c r="B428" t="e">
        <f>VLOOKUP(A428,Enrollment!A:A,1,FALSE)</f>
        <v>#N/A</v>
      </c>
      <c r="C428" t="str">
        <f>VLOOKUP(A428,Distance!A:A,1,FALSE)</f>
        <v>1212 E ATWATER AVE</v>
      </c>
      <c r="D428" t="str">
        <f>VLOOKUP(A428,Sector!A:A,1,FALSE)</f>
        <v>1212 E ATWATER AVE</v>
      </c>
      <c r="E428" t="str">
        <f>VLOOKUP(A428,'new Sector'!A:A,1,0)</f>
        <v>1212 E ATWATER AVE</v>
      </c>
    </row>
    <row r="429" spans="1:5" hidden="1" x14ac:dyDescent="0.3">
      <c r="A429" t="s">
        <v>533</v>
      </c>
      <c r="B429" t="e">
        <f>VLOOKUP(A429,Enrollment!A:A,1,FALSE)</f>
        <v>#N/A</v>
      </c>
      <c r="C429" t="str">
        <f>VLOOKUP(A429,Distance!A:A,1,FALSE)</f>
        <v>WOODBURN HOUSE</v>
      </c>
      <c r="D429" t="str">
        <f>VLOOKUP(A429,Sector!A:A,1,FALSE)</f>
        <v>WOODBURN HOUSE</v>
      </c>
      <c r="E429" t="str">
        <f>VLOOKUP(A429,'new Sector'!A:A,1,0)</f>
        <v>WOODBURN HOUSE</v>
      </c>
    </row>
    <row r="430" spans="1:5" hidden="1" x14ac:dyDescent="0.3">
      <c r="A430" t="s">
        <v>534</v>
      </c>
      <c r="B430" t="e">
        <f>VLOOKUP(A430,Enrollment!A:A,1,FALSE)</f>
        <v>#N/A</v>
      </c>
      <c r="C430" t="str">
        <f>VLOOKUP(A430,Distance!A:A,1,FALSE)</f>
        <v>WYLIE HOUSE MUSEUM</v>
      </c>
      <c r="D430" t="str">
        <f>VLOOKUP(A430,Sector!A:A,1,FALSE)</f>
        <v>WYLIE HOUSE MUSEUM</v>
      </c>
      <c r="E430" t="str">
        <f>VLOOKUP(A430,'new Sector'!A:A,1,0)</f>
        <v>WYLIE HOUSE MUSEUM</v>
      </c>
    </row>
    <row r="431" spans="1:5" hidden="1" x14ac:dyDescent="0.3">
      <c r="A431" t="s">
        <v>535</v>
      </c>
      <c r="B431" t="e">
        <f>VLOOKUP(A431,Enrollment!A:A,1,FALSE)</f>
        <v>#N/A</v>
      </c>
      <c r="C431" t="str">
        <f>VLOOKUP(A431,Distance!A:A,1,FALSE)</f>
        <v>422 S GRANT ST</v>
      </c>
      <c r="D431" t="str">
        <f>VLOOKUP(A431,Sector!A:A,1,FALSE)</f>
        <v>422 S GRANT ST</v>
      </c>
      <c r="E431" t="str">
        <f>VLOOKUP(A431,'new Sector'!A:A,1,0)</f>
        <v>422 S GRANT ST</v>
      </c>
    </row>
    <row r="432" spans="1:5" hidden="1" x14ac:dyDescent="0.3">
      <c r="A432" t="s">
        <v>536</v>
      </c>
      <c r="B432" t="e">
        <f>VLOOKUP(A432,Enrollment!A:A,1,FALSE)</f>
        <v>#N/A</v>
      </c>
      <c r="C432" t="str">
        <f>VLOOKUP(A432,Distance!A:A,1,FALSE)</f>
        <v>422 S GRANT GARAGE</v>
      </c>
      <c r="D432" t="str">
        <f>VLOOKUP(A432,Sector!A:A,1,FALSE)</f>
        <v>422 S GRANT GARAGE</v>
      </c>
      <c r="E432" t="str">
        <f>VLOOKUP(A432,'new Sector'!A:A,1,0)</f>
        <v>422 S GRANT GARAGE</v>
      </c>
    </row>
    <row r="433" spans="1:5" hidden="1" x14ac:dyDescent="0.3">
      <c r="A433" t="s">
        <v>537</v>
      </c>
      <c r="B433" t="e">
        <f>VLOOKUP(A433,Enrollment!A:A,1,FALSE)</f>
        <v>#N/A</v>
      </c>
      <c r="C433" t="str">
        <f>VLOOKUP(A433,Distance!A:A,1,FALSE)</f>
        <v>411 S LINCOLN ST</v>
      </c>
      <c r="D433" t="str">
        <f>VLOOKUP(A433,Sector!A:A,1,FALSE)</f>
        <v>411 S LINCOLN ST</v>
      </c>
      <c r="E433" t="str">
        <f>VLOOKUP(A433,'new Sector'!A:A,1,0)</f>
        <v>411 S LINCOLN ST</v>
      </c>
    </row>
    <row r="434" spans="1:5" hidden="1" x14ac:dyDescent="0.3">
      <c r="A434" t="s">
        <v>538</v>
      </c>
      <c r="B434" t="e">
        <f>VLOOKUP(A434,Enrollment!A:A,1,FALSE)</f>
        <v>#N/A</v>
      </c>
      <c r="C434" t="str">
        <f>VLOOKUP(A434,Distance!A:A,1,FALSE)</f>
        <v>215 E 2ND ST</v>
      </c>
      <c r="D434" t="e">
        <f>VLOOKUP(A434,Sector!A:A,1,FALSE)</f>
        <v>#N/A</v>
      </c>
      <c r="E434" t="str">
        <f>VLOOKUP(A434,'new Sector'!A:A,1,0)</f>
        <v>215 E 2ND ST</v>
      </c>
    </row>
    <row r="435" spans="1:5" hidden="1" x14ac:dyDescent="0.3">
      <c r="A435" t="s">
        <v>539</v>
      </c>
      <c r="B435" t="e">
        <f>VLOOKUP(A435,Enrollment!A:A,1,FALSE)</f>
        <v>#N/A</v>
      </c>
      <c r="C435" t="str">
        <f>VLOOKUP(A435,Distance!A:A,1,FALSE)</f>
        <v>BRADLEY EDUCATION CENTER (MORTON C.)</v>
      </c>
      <c r="D435" t="str">
        <f>VLOOKUP(A435,Sector!A:A,1,FALSE)</f>
        <v>BRADLEY EDUCATION CENTER (MORTON C.)</v>
      </c>
      <c r="E435" t="str">
        <f>VLOOKUP(A435,'new Sector'!A:A,1,0)</f>
        <v>BRADLEY EDUCATION CENTER (MORTON C.)</v>
      </c>
    </row>
    <row r="436" spans="1:5" hidden="1" x14ac:dyDescent="0.3">
      <c r="A436" t="s">
        <v>540</v>
      </c>
      <c r="B436" t="e">
        <f>VLOOKUP(A436,Enrollment!A:A,1,FALSE)</f>
        <v>#N/A</v>
      </c>
      <c r="C436" t="str">
        <f>VLOOKUP(A436,Distance!A:A,1,FALSE)</f>
        <v>MONROE CO GOVT CENTER-SHOWERS</v>
      </c>
      <c r="D436" t="str">
        <f>VLOOKUP(A436,Sector!A:A,1,FALSE)</f>
        <v>MONROE CO GOVT CENTER-SHOWERS</v>
      </c>
      <c r="E436" t="str">
        <f>VLOOKUP(A436,'new Sector'!A:A,1,0)</f>
        <v>MONROE CO GOVT CENTER-SHOWERS</v>
      </c>
    </row>
    <row r="437" spans="1:5" hidden="1" x14ac:dyDescent="0.3">
      <c r="A437" t="s">
        <v>541</v>
      </c>
      <c r="B437" t="e">
        <f>VLOOKUP(A437,Enrollment!A:A,1,FALSE)</f>
        <v>#N/A</v>
      </c>
      <c r="C437" t="str">
        <f>VLOOKUP(A437,Distance!A:A,1,FALSE)</f>
        <v>420 N WALNUT ST</v>
      </c>
      <c r="D437" t="str">
        <f>VLOOKUP(A437,Sector!A:A,1,FALSE)</f>
        <v>420 N WALNUT ST</v>
      </c>
      <c r="E437" t="str">
        <f>VLOOKUP(A437,'new Sector'!A:A,1,0)</f>
        <v>420 N WALNUT ST</v>
      </c>
    </row>
    <row r="438" spans="1:5" x14ac:dyDescent="0.3">
      <c r="A438" t="s">
        <v>542</v>
      </c>
      <c r="B438" t="e">
        <f>VLOOKUP(A438,Enrollment!A:A,1,FALSE)</f>
        <v>#N/A</v>
      </c>
      <c r="C438" t="str">
        <f>VLOOKUP(A438,Distance!A:A,1,FALSE)</f>
        <v>2218 N DUNN ST</v>
      </c>
      <c r="D438" t="e">
        <f>VLOOKUP(A438,Sector!A:A,1,FALSE)</f>
        <v>#N/A</v>
      </c>
      <c r="E438" t="e">
        <f>VLOOKUP(A438,'new Sector'!A:A,1,0)</f>
        <v>#N/A</v>
      </c>
    </row>
    <row r="439" spans="1:5" x14ac:dyDescent="0.3">
      <c r="A439" t="s">
        <v>543</v>
      </c>
      <c r="B439" t="e">
        <f>VLOOKUP(A439,Enrollment!A:A,1,FALSE)</f>
        <v>#N/A</v>
      </c>
      <c r="C439" t="str">
        <f>VLOOKUP(A439,Distance!A:A,1,FALSE)</f>
        <v>2200 N DUNN ST</v>
      </c>
      <c r="D439" t="e">
        <f>VLOOKUP(A439,Sector!A:A,1,FALSE)</f>
        <v>#N/A</v>
      </c>
      <c r="E439" t="e">
        <f>VLOOKUP(A439,'new Sector'!A:A,1,0)</f>
        <v>#N/A</v>
      </c>
    </row>
    <row r="440" spans="1:5" x14ac:dyDescent="0.3">
      <c r="A440" t="s">
        <v>616</v>
      </c>
      <c r="B440" t="e">
        <f>VLOOKUP(A440,Enrollment!A:A,1,FALSE)</f>
        <v>#N/A</v>
      </c>
      <c r="C440" t="str">
        <f>VLOOKUP(A440,Distance!A:A,1,FALSE)</f>
        <v>BUILDING C</v>
      </c>
      <c r="D440" t="e">
        <f>VLOOKUP(A440,Sector!A:A,1,FALSE)</f>
        <v>#N/A</v>
      </c>
      <c r="E440" t="e">
        <f>VLOOKUP(A440,'new Sector'!A:A,1,0)</f>
        <v>#N/A</v>
      </c>
    </row>
    <row r="441" spans="1:5" x14ac:dyDescent="0.3">
      <c r="A441" t="s">
        <v>617</v>
      </c>
      <c r="B441" t="e">
        <f>VLOOKUP(A441,Enrollment!A:A,1,FALSE)</f>
        <v>#N/A</v>
      </c>
      <c r="C441" t="str">
        <f>VLOOKUP(A441,Distance!A:A,1,FALSE)</f>
        <v>BUILDING D</v>
      </c>
      <c r="D441" t="e">
        <f>VLOOKUP(A441,Sector!A:A,1,FALSE)</f>
        <v>#N/A</v>
      </c>
      <c r="E441" t="e">
        <f>VLOOKUP(A441,'new Sector'!A:A,1,0)</f>
        <v>#N/A</v>
      </c>
    </row>
    <row r="442" spans="1:5" hidden="1" x14ac:dyDescent="0.3">
      <c r="A442" t="s">
        <v>544</v>
      </c>
      <c r="B442" t="e">
        <f>VLOOKUP(A442,Enrollment!A:A,1,FALSE)</f>
        <v>#N/A</v>
      </c>
      <c r="C442" t="str">
        <f>VLOOKUP(A442,Distance!A:A,1,FALSE)</f>
        <v>SHOWALTER HOUSE (IU FOUNDATION)</v>
      </c>
      <c r="D442" t="str">
        <f>VLOOKUP(A442,Sector!A:A,1,FALSE)</f>
        <v>SHOWALTER HOUSE (IU FOUNDATION)</v>
      </c>
      <c r="E442" t="str">
        <f>VLOOKUP(A442,'new Sector'!A:A,1,0)</f>
        <v>SHOWALTER HOUSE (IU FOUNDATION)</v>
      </c>
    </row>
    <row r="443" spans="1:5" hidden="1" x14ac:dyDescent="0.3">
      <c r="A443" t="s">
        <v>545</v>
      </c>
      <c r="B443" t="e">
        <f>VLOOKUP(A443,Enrollment!A:A,1,FALSE)</f>
        <v>#N/A</v>
      </c>
      <c r="C443" t="str">
        <f>VLOOKUP(A443,Distance!A:A,1,FALSE)</f>
        <v>IUF STORAGE</v>
      </c>
      <c r="D443" t="str">
        <f>VLOOKUP(A443,Sector!A:A,1,FALSE)</f>
        <v>IUF STORAGE</v>
      </c>
      <c r="E443" t="str">
        <f>VLOOKUP(A443,'new Sector'!A:A,1,0)</f>
        <v>IUF STORAGE</v>
      </c>
    </row>
    <row r="444" spans="1:5" hidden="1" x14ac:dyDescent="0.3">
      <c r="A444" t="s">
        <v>598</v>
      </c>
      <c r="B444" t="e">
        <f>VLOOKUP(A444,Enrollment!A:A,1,FALSE)</f>
        <v>#N/A</v>
      </c>
      <c r="C444" t="str">
        <f>VLOOKUP(A444,Distance!A:A,1,FALSE)</f>
        <v>SHOWALTER FOUNTAIN</v>
      </c>
      <c r="D444" t="str">
        <f>VLOOKUP(A444,Sector!A:A,1,FALSE)</f>
        <v>SHOWALTER FOUNTAIN</v>
      </c>
      <c r="E444" t="str">
        <f>VLOOKUP(A444,'new Sector'!A:A,1,0)</f>
        <v>SHOWALTER FOUNTAIN</v>
      </c>
    </row>
    <row r="445" spans="1:5" hidden="1" x14ac:dyDescent="0.3">
      <c r="A445" t="s">
        <v>602</v>
      </c>
      <c r="B445" t="e">
        <f>VLOOKUP(A445,Enrollment!A:A,1,FALSE)</f>
        <v>#N/A</v>
      </c>
      <c r="C445" t="str">
        <f>VLOOKUP(A445,Distance!A:A,1,FALSE)</f>
        <v>BETA SIGMA PSI</v>
      </c>
      <c r="D445" t="str">
        <f>VLOOKUP(A445,Sector!A:A,1,FALSE)</f>
        <v>BETA SIGMA PSI</v>
      </c>
      <c r="E445" t="str">
        <f>VLOOKUP(A445,'new Sector'!A:A,1,0)</f>
        <v>BETA SIGMA PSI</v>
      </c>
    </row>
    <row r="446" spans="1:5" hidden="1" x14ac:dyDescent="0.3">
      <c r="A446" t="s">
        <v>600</v>
      </c>
      <c r="B446" t="e">
        <f>VLOOKUP(A446,Enrollment!A:A,1,FALSE)</f>
        <v>#N/A</v>
      </c>
      <c r="C446" t="str">
        <f>VLOOKUP(A446,Distance!A:A,1,FALSE)</f>
        <v>CHI PHI</v>
      </c>
      <c r="D446" t="str">
        <f>VLOOKUP(A446,Sector!A:A,1,FALSE)</f>
        <v>CHI PHI</v>
      </c>
      <c r="E446" t="str">
        <f>VLOOKUP(A446,'new Sector'!A:A,1,0)</f>
        <v>CHI PHI</v>
      </c>
    </row>
    <row r="447" spans="1:5" hidden="1" x14ac:dyDescent="0.3">
      <c r="A447" t="s">
        <v>546</v>
      </c>
      <c r="B447" t="e">
        <f>VLOOKUP(A447,Enrollment!A:A,1,FALSE)</f>
        <v>#N/A</v>
      </c>
      <c r="C447" t="str">
        <f>VLOOKUP(A447,Distance!A:A,1,FALSE)</f>
        <v>DELTA PHI EPSILON</v>
      </c>
      <c r="D447" t="str">
        <f>VLOOKUP(A447,Sector!A:A,1,FALSE)</f>
        <v>DELTA PHI EPSILON</v>
      </c>
      <c r="E447" t="str">
        <f>VLOOKUP(A447,'new Sector'!A:A,1,0)</f>
        <v>DELTA PHI EPSILON</v>
      </c>
    </row>
    <row r="448" spans="1:5" hidden="1" x14ac:dyDescent="0.3">
      <c r="A448" t="s">
        <v>547</v>
      </c>
      <c r="B448" t="e">
        <f>VLOOKUP(A448,Enrollment!A:A,1,FALSE)</f>
        <v>#N/A</v>
      </c>
      <c r="C448" t="str">
        <f>VLOOKUP(A448,Distance!A:A,1,FALSE)</f>
        <v>ALPHA PHI</v>
      </c>
      <c r="D448" t="str">
        <f>VLOOKUP(A448,Sector!A:A,1,FALSE)</f>
        <v>ALPHA PHI</v>
      </c>
      <c r="E448" t="str">
        <f>VLOOKUP(A448,'new Sector'!A:A,1,0)</f>
        <v>ALPHA PHI</v>
      </c>
    </row>
    <row r="449" spans="1:5" hidden="1" x14ac:dyDescent="0.3">
      <c r="A449" t="s">
        <v>548</v>
      </c>
      <c r="B449" t="e">
        <f>VLOOKUP(A449,Enrollment!A:A,1,FALSE)</f>
        <v>#N/A</v>
      </c>
      <c r="C449" t="str">
        <f>VLOOKUP(A449,Distance!A:A,1,FALSE)</f>
        <v>PI BETA PHI</v>
      </c>
      <c r="D449" t="e">
        <f>VLOOKUP(A449,Sector!A:A,1,FALSE)</f>
        <v>#N/A</v>
      </c>
      <c r="E449" t="str">
        <f>VLOOKUP(A449,'new Sector'!A:A,1,0)</f>
        <v>PI BETA PHI</v>
      </c>
    </row>
    <row r="450" spans="1:5" hidden="1" x14ac:dyDescent="0.3">
      <c r="A450" t="s">
        <v>549</v>
      </c>
      <c r="B450" t="e">
        <f>VLOOKUP(A450,Enrollment!A:A,1,FALSE)</f>
        <v>#N/A</v>
      </c>
      <c r="C450" t="str">
        <f>VLOOKUP(A450,Distance!A:A,1,FALSE)</f>
        <v>KAPPA KAPPA GAMMA</v>
      </c>
      <c r="D450" t="str">
        <f>VLOOKUP(A450,Sector!A:A,1,FALSE)</f>
        <v>KAPPA KAPPA GAMMA</v>
      </c>
      <c r="E450" t="str">
        <f>VLOOKUP(A450,'new Sector'!A:A,1,0)</f>
        <v>KAPPA KAPPA GAMMA</v>
      </c>
    </row>
    <row r="451" spans="1:5" hidden="1" x14ac:dyDescent="0.3">
      <c r="A451" t="s">
        <v>550</v>
      </c>
      <c r="B451" t="e">
        <f>VLOOKUP(A451,Enrollment!A:A,1,FALSE)</f>
        <v>#N/A</v>
      </c>
      <c r="C451" t="str">
        <f>VLOOKUP(A451,Distance!A:A,1,FALSE)</f>
        <v>DELTA UPSILON</v>
      </c>
      <c r="D451" t="str">
        <f>VLOOKUP(A451,Sector!A:A,1,FALSE)</f>
        <v>DELTA UPSILON</v>
      </c>
      <c r="E451" t="str">
        <f>VLOOKUP(A451,'new Sector'!A:A,1,0)</f>
        <v>DELTA UPSILON</v>
      </c>
    </row>
    <row r="452" spans="1:5" hidden="1" x14ac:dyDescent="0.3">
      <c r="A452" t="s">
        <v>551</v>
      </c>
      <c r="B452" t="e">
        <f>VLOOKUP(A452,Enrollment!A:A,1,FALSE)</f>
        <v>#N/A</v>
      </c>
      <c r="C452" t="str">
        <f>VLOOKUP(A452,Distance!A:A,1,FALSE)</f>
        <v>LAMBDA CHI ALPHA</v>
      </c>
      <c r="D452" t="str">
        <f>VLOOKUP(A452,Sector!A:A,1,FALSE)</f>
        <v>LAMBDA CHI ALPHA</v>
      </c>
      <c r="E452" t="str">
        <f>VLOOKUP(A452,'new Sector'!A:A,1,0)</f>
        <v>LAMBDA CHI ALPHA</v>
      </c>
    </row>
    <row r="453" spans="1:5" hidden="1" x14ac:dyDescent="0.3">
      <c r="A453" t="s">
        <v>552</v>
      </c>
      <c r="B453" t="e">
        <f>VLOOKUP(A453,Enrollment!A:A,1,FALSE)</f>
        <v>#N/A</v>
      </c>
      <c r="C453" t="str">
        <f>VLOOKUP(A453,Distance!A:A,1,FALSE)</f>
        <v>DELTA GAMMA</v>
      </c>
      <c r="D453" t="str">
        <f>VLOOKUP(A453,Sector!A:A,1,FALSE)</f>
        <v>DELTA GAMMA</v>
      </c>
      <c r="E453" t="str">
        <f>VLOOKUP(A453,'new Sector'!A:A,1,0)</f>
        <v>DELTA GAMMA</v>
      </c>
    </row>
    <row r="454" spans="1:5" hidden="1" x14ac:dyDescent="0.3">
      <c r="A454" t="s">
        <v>553</v>
      </c>
      <c r="B454" t="e">
        <f>VLOOKUP(A454,Enrollment!A:A,1,FALSE)</f>
        <v>#N/A</v>
      </c>
      <c r="C454" t="str">
        <f>VLOOKUP(A454,Distance!A:A,1,FALSE)</f>
        <v>KAPPA ALPHA THETA</v>
      </c>
      <c r="D454" t="e">
        <f>VLOOKUP(A454,Sector!A:A,1,FALSE)</f>
        <v>#N/A</v>
      </c>
      <c r="E454" t="str">
        <f>VLOOKUP(A454,'new Sector'!A:A,1,0)</f>
        <v>KAPPA ALPHA THETA</v>
      </c>
    </row>
    <row r="455" spans="1:5" hidden="1" x14ac:dyDescent="0.3">
      <c r="A455" t="s">
        <v>554</v>
      </c>
      <c r="B455" t="e">
        <f>VLOOKUP(A455,Enrollment!A:A,1,FALSE)</f>
        <v>#N/A</v>
      </c>
      <c r="C455" t="str">
        <f>VLOOKUP(A455,Distance!A:A,1,FALSE)</f>
        <v>SIGMA PHI EPSILON</v>
      </c>
      <c r="D455" t="str">
        <f>VLOOKUP(A455,Sector!A:A,1,FALSE)</f>
        <v>SIGMA PHI EPSILON</v>
      </c>
      <c r="E455" t="str">
        <f>VLOOKUP(A455,'new Sector'!A:A,1,0)</f>
        <v>SIGMA PHI EPSILON</v>
      </c>
    </row>
    <row r="456" spans="1:5" hidden="1" x14ac:dyDescent="0.3">
      <c r="A456" t="s">
        <v>555</v>
      </c>
      <c r="B456" t="e">
        <f>VLOOKUP(A456,Enrollment!A:A,1,FALSE)</f>
        <v>#N/A</v>
      </c>
      <c r="C456" t="str">
        <f>VLOOKUP(A456,Distance!A:A,1,FALSE)</f>
        <v>KAPPA DELTA</v>
      </c>
      <c r="D456" t="str">
        <f>VLOOKUP(A456,Sector!A:A,1,FALSE)</f>
        <v>KAPPA DELTA</v>
      </c>
      <c r="E456" t="str">
        <f>VLOOKUP(A456,'new Sector'!A:A,1,0)</f>
        <v>KAPPA DELTA</v>
      </c>
    </row>
    <row r="457" spans="1:5" hidden="1" x14ac:dyDescent="0.3">
      <c r="A457" t="s">
        <v>556</v>
      </c>
      <c r="B457" t="e">
        <f>VLOOKUP(A457,Enrollment!A:A,1,FALSE)</f>
        <v>#N/A</v>
      </c>
      <c r="C457" t="str">
        <f>VLOOKUP(A457,Distance!A:A,1,FALSE)</f>
        <v>ALPHA CHI OMEGA</v>
      </c>
      <c r="D457" t="e">
        <f>VLOOKUP(A457,Sector!A:A,1,FALSE)</f>
        <v>#N/A</v>
      </c>
      <c r="E457" t="str">
        <f>VLOOKUP(A457,'new Sector'!A:A,1,0)</f>
        <v>ALPHA CHI OMEGA</v>
      </c>
    </row>
    <row r="458" spans="1:5" hidden="1" x14ac:dyDescent="0.3">
      <c r="A458" t="s">
        <v>557</v>
      </c>
      <c r="B458" t="e">
        <f>VLOOKUP(A458,Enrollment!A:A,1,FALSE)</f>
        <v>#N/A</v>
      </c>
      <c r="C458" t="str">
        <f>VLOOKUP(A458,Distance!A:A,1,FALSE)</f>
        <v>ZETA TAU ALPHA</v>
      </c>
      <c r="D458" t="str">
        <f>VLOOKUP(A458,Sector!A:A,1,FALSE)</f>
        <v>ZETA TAU ALPHA</v>
      </c>
      <c r="E458" t="str">
        <f>VLOOKUP(A458,'new Sector'!A:A,1,0)</f>
        <v>ZETA TAU ALPHA</v>
      </c>
    </row>
    <row r="459" spans="1:5" hidden="1" x14ac:dyDescent="0.3">
      <c r="A459" t="s">
        <v>558</v>
      </c>
      <c r="B459" t="e">
        <f>VLOOKUP(A459,Enrollment!A:A,1,FALSE)</f>
        <v>#N/A</v>
      </c>
      <c r="C459" t="str">
        <f>VLOOKUP(A459,Distance!A:A,1,FALSE)</f>
        <v>SIGMA NU</v>
      </c>
      <c r="D459" t="str">
        <f>VLOOKUP(A459,Sector!A:A,1,FALSE)</f>
        <v>SIGMA NU</v>
      </c>
      <c r="E459" t="str">
        <f>VLOOKUP(A459,'new Sector'!A:A,1,0)</f>
        <v>SIGMA NU</v>
      </c>
    </row>
    <row r="460" spans="1:5" hidden="1" x14ac:dyDescent="0.3">
      <c r="A460" t="s">
        <v>559</v>
      </c>
      <c r="B460" t="e">
        <f>VLOOKUP(A460,Enrollment!A:A,1,FALSE)</f>
        <v>#N/A</v>
      </c>
      <c r="C460" t="str">
        <f>VLOOKUP(A460,Distance!A:A,1,FALSE)</f>
        <v>EVANS SCHOLARS</v>
      </c>
      <c r="D460" t="e">
        <f>VLOOKUP(A460,Sector!A:A,1,FALSE)</f>
        <v>#N/A</v>
      </c>
      <c r="E460" t="str">
        <f>VLOOKUP(A460,'new Sector'!A:A,1,0)</f>
        <v>EVANS SCHOLARS</v>
      </c>
    </row>
    <row r="461" spans="1:5" hidden="1" x14ac:dyDescent="0.3">
      <c r="A461" t="s">
        <v>560</v>
      </c>
      <c r="B461" t="e">
        <f>VLOOKUP(A461,Enrollment!A:A,1,FALSE)</f>
        <v>#N/A</v>
      </c>
      <c r="C461" t="str">
        <f>VLOOKUP(A461,Distance!A:A,1,FALSE)</f>
        <v>BETA THETA PI</v>
      </c>
      <c r="D461" t="e">
        <f>VLOOKUP(A461,Sector!A:A,1,FALSE)</f>
        <v>#N/A</v>
      </c>
      <c r="E461" t="str">
        <f>VLOOKUP(A461,'new Sector'!A:A,1,0)</f>
        <v>BETA THETA PI</v>
      </c>
    </row>
    <row r="462" spans="1:5" hidden="1" x14ac:dyDescent="0.3">
      <c r="A462" t="s">
        <v>561</v>
      </c>
      <c r="B462" t="e">
        <f>VLOOKUP(A462,Enrollment!A:A,1,FALSE)</f>
        <v>#N/A</v>
      </c>
      <c r="C462" t="str">
        <f>VLOOKUP(A462,Distance!A:A,1,FALSE)</f>
        <v>POLICE DPT IUPD</v>
      </c>
      <c r="D462" t="str">
        <f>VLOOKUP(A462,Sector!A:A,1,FALSE)</f>
        <v>POLICE DPT IUPD</v>
      </c>
      <c r="E462" t="str">
        <f>VLOOKUP(A462,'new Sector'!A:A,1,0)</f>
        <v>POLICE DPT IUPD</v>
      </c>
    </row>
    <row r="463" spans="1:5" hidden="1" x14ac:dyDescent="0.3">
      <c r="A463" t="s">
        <v>562</v>
      </c>
      <c r="B463" t="e">
        <f>VLOOKUP(A463,Enrollment!A:A,1,FALSE)</f>
        <v>#N/A</v>
      </c>
      <c r="C463" t="str">
        <f>VLOOKUP(A463,Distance!A:A,1,FALSE)</f>
        <v>ALPHA EPSILON PHI</v>
      </c>
      <c r="D463" t="str">
        <f>VLOOKUP(A463,Sector!A:A,1,FALSE)</f>
        <v>ALPHA EPSILON PHI</v>
      </c>
      <c r="E463" t="str">
        <f>VLOOKUP(A463,'new Sector'!A:A,1,0)</f>
        <v>ALPHA EPSILON PHI</v>
      </c>
    </row>
    <row r="464" spans="1:5" hidden="1" x14ac:dyDescent="0.3">
      <c r="A464" t="s">
        <v>563</v>
      </c>
      <c r="B464" t="e">
        <f>VLOOKUP(A464,Enrollment!A:A,1,FALSE)</f>
        <v>#N/A</v>
      </c>
      <c r="C464" t="str">
        <f>VLOOKUP(A464,Distance!A:A,1,FALSE)</f>
        <v>PHI DELTA THETA</v>
      </c>
      <c r="D464" t="str">
        <f>VLOOKUP(A464,Sector!A:A,1,FALSE)</f>
        <v>PHI DELTA THETA</v>
      </c>
      <c r="E464" t="str">
        <f>VLOOKUP(A464,'new Sector'!A:A,1,0)</f>
        <v>PHI DELTA THETA</v>
      </c>
    </row>
    <row r="465" spans="1:5" hidden="1" x14ac:dyDescent="0.3">
      <c r="A465" t="s">
        <v>564</v>
      </c>
      <c r="B465" t="e">
        <f>VLOOKUP(A465,Enrollment!A:A,1,FALSE)</f>
        <v>#N/A</v>
      </c>
      <c r="C465" t="str">
        <f>VLOOKUP(A465,Distance!A:A,1,FALSE)</f>
        <v>PHI KAPPA PSI</v>
      </c>
      <c r="D465" t="e">
        <f>VLOOKUP(A465,Sector!A:A,1,FALSE)</f>
        <v>#N/A</v>
      </c>
      <c r="E465" t="str">
        <f>VLOOKUP(A465,'new Sector'!A:A,1,0)</f>
        <v>PHI KAPPA PSI</v>
      </c>
    </row>
    <row r="466" spans="1:5" hidden="1" x14ac:dyDescent="0.3">
      <c r="A466" t="s">
        <v>565</v>
      </c>
      <c r="B466" t="e">
        <f>VLOOKUP(A466,Enrollment!A:A,1,FALSE)</f>
        <v>#N/A</v>
      </c>
      <c r="C466" t="str">
        <f>VLOOKUP(A466,Distance!A:A,1,FALSE)</f>
        <v>GAMMA PHI BETA</v>
      </c>
      <c r="D466" t="e">
        <f>VLOOKUP(A466,Sector!A:A,1,FALSE)</f>
        <v>#N/A</v>
      </c>
      <c r="E466" t="str">
        <f>VLOOKUP(A466,'new Sector'!A:A,1,0)</f>
        <v>GAMMA PHI BETA</v>
      </c>
    </row>
    <row r="467" spans="1:5" hidden="1" x14ac:dyDescent="0.3">
      <c r="A467" t="s">
        <v>566</v>
      </c>
      <c r="B467" t="e">
        <f>VLOOKUP(A467,Enrollment!A:A,1,FALSE)</f>
        <v>#N/A</v>
      </c>
      <c r="C467" t="str">
        <f>VLOOKUP(A467,Distance!A:A,1,FALSE)</f>
        <v>ALPHA GAMMA DELTA</v>
      </c>
      <c r="D467" t="e">
        <f>VLOOKUP(A467,Sector!A:A,1,FALSE)</f>
        <v>#N/A</v>
      </c>
      <c r="E467" t="str">
        <f>VLOOKUP(A467,'new Sector'!A:A,1,0)</f>
        <v>ALPHA GAMMA DELTA</v>
      </c>
    </row>
    <row r="468" spans="1:5" hidden="1" x14ac:dyDescent="0.3">
      <c r="A468" t="s">
        <v>597</v>
      </c>
      <c r="B468" t="e">
        <f>VLOOKUP(A468,Enrollment!A:A,1,FALSE)</f>
        <v>#N/A</v>
      </c>
      <c r="C468" t="str">
        <f>VLOOKUP(A468,Distance!A:A,1,FALSE)</f>
        <v>PHI SIGMA KAPPA</v>
      </c>
      <c r="D468" t="str">
        <f>VLOOKUP(A468,Sector!A:A,1,FALSE)</f>
        <v>PHI SIGMA KAPPA</v>
      </c>
      <c r="E468" t="str">
        <f>VLOOKUP(A468,'new Sector'!A:A,1,0)</f>
        <v>PHI SIGMA KAPPA</v>
      </c>
    </row>
    <row r="469" spans="1:5" hidden="1" x14ac:dyDescent="0.3">
      <c r="A469" t="s">
        <v>567</v>
      </c>
      <c r="B469" t="e">
        <f>VLOOKUP(A469,Enrollment!A:A,1,FALSE)</f>
        <v>#N/A</v>
      </c>
      <c r="C469" t="str">
        <f>VLOOKUP(A469,Distance!A:A,1,FALSE)</f>
        <v>SIGMA DELTA TAU</v>
      </c>
      <c r="D469" t="e">
        <f>VLOOKUP(A469,Sector!A:A,1,FALSE)</f>
        <v>#N/A</v>
      </c>
      <c r="E469" t="str">
        <f>VLOOKUP(A469,'new Sector'!A:A,1,0)</f>
        <v>SIGMA DELTA TAU</v>
      </c>
    </row>
    <row r="470" spans="1:5" x14ac:dyDescent="0.3">
      <c r="A470" t="s">
        <v>568</v>
      </c>
      <c r="B470" t="e">
        <f>VLOOKUP(A470,Enrollment!A:A,1,FALSE)</f>
        <v>#N/A</v>
      </c>
      <c r="C470" t="str">
        <f>VLOOKUP(A470,Distance!A:A,1,FALSE)</f>
        <v>ALPHA EPSILON PI</v>
      </c>
      <c r="D470" t="e">
        <f>VLOOKUP(A470,Sector!A:A,1,FALSE)</f>
        <v>#N/A</v>
      </c>
      <c r="E470" t="e">
        <f>VLOOKUP(A470,'new Sector'!A:A,1,0)</f>
        <v>#N/A</v>
      </c>
    </row>
    <row r="471" spans="1:5" hidden="1" x14ac:dyDescent="0.3">
      <c r="A471" t="s">
        <v>569</v>
      </c>
      <c r="B471" t="e">
        <f>VLOOKUP(A471,Enrollment!A:A,1,FALSE)</f>
        <v>#N/A</v>
      </c>
      <c r="C471" t="str">
        <f>VLOOKUP(A471,Distance!A:A,1,FALSE)</f>
        <v>CHI OMEGA</v>
      </c>
      <c r="D471" t="e">
        <f>VLOOKUP(A471,Sector!A:A,1,FALSE)</f>
        <v>#N/A</v>
      </c>
      <c r="E471" t="str">
        <f>VLOOKUP(A471,'new Sector'!A:A,1,0)</f>
        <v>CHI OMEGA</v>
      </c>
    </row>
    <row r="472" spans="1:5" hidden="1" x14ac:dyDescent="0.3">
      <c r="A472" t="s">
        <v>570</v>
      </c>
      <c r="B472" t="e">
        <f>VLOOKUP(A472,Enrollment!A:A,1,FALSE)</f>
        <v>#N/A</v>
      </c>
      <c r="C472" t="str">
        <f>VLOOKUP(A472,Distance!A:A,1,FALSE)</f>
        <v>SIGMA KAPPA</v>
      </c>
      <c r="D472" t="e">
        <f>VLOOKUP(A472,Sector!A:A,1,FALSE)</f>
        <v>#N/A</v>
      </c>
      <c r="E472" t="str">
        <f>VLOOKUP(A472,'new Sector'!A:A,1,0)</f>
        <v>SIGMA KAPPA</v>
      </c>
    </row>
    <row r="473" spans="1:5" hidden="1" x14ac:dyDescent="0.3">
      <c r="A473" t="s">
        <v>571</v>
      </c>
      <c r="B473" t="e">
        <f>VLOOKUP(A473,Enrollment!A:A,1,FALSE)</f>
        <v>#N/A</v>
      </c>
      <c r="C473" t="str">
        <f>VLOOKUP(A473,Distance!A:A,1,FALSE)</f>
        <v>ALPHA OMICRON PI</v>
      </c>
      <c r="D473" t="e">
        <f>VLOOKUP(A473,Sector!A:A,1,FALSE)</f>
        <v>#N/A</v>
      </c>
      <c r="E473" t="str">
        <f>VLOOKUP(A473,'new Sector'!A:A,1,0)</f>
        <v>ALPHA OMICRON PI</v>
      </c>
    </row>
    <row r="474" spans="1:5" hidden="1" x14ac:dyDescent="0.3">
      <c r="A474" t="s">
        <v>618</v>
      </c>
      <c r="B474" t="e">
        <f>VLOOKUP(A474,Enrollment!A:A,1,FALSE)</f>
        <v>#N/A</v>
      </c>
      <c r="C474" t="str">
        <f>VLOOKUP(A474,Distance!A:A,1,FALSE)</f>
        <v>SIGMA ALPHA MU</v>
      </c>
      <c r="D474" t="e">
        <f>VLOOKUP(A474,Sector!A:A,1,FALSE)</f>
        <v>#N/A</v>
      </c>
      <c r="E474" t="str">
        <f>VLOOKUP(A474,'new Sector'!A:A,1,0)</f>
        <v>SIGMA ALPHA MU</v>
      </c>
    </row>
    <row r="475" spans="1:5" hidden="1" x14ac:dyDescent="0.3">
      <c r="A475" t="s">
        <v>572</v>
      </c>
      <c r="B475" t="e">
        <f>VLOOKUP(A475,Enrollment!A:A,1,FALSE)</f>
        <v>#N/A</v>
      </c>
      <c r="C475" t="str">
        <f>VLOOKUP(A475,Distance!A:A,1,FALSE)</f>
        <v>THETA CHI</v>
      </c>
      <c r="D475" t="str">
        <f>VLOOKUP(A475,Sector!A:A,1,FALSE)</f>
        <v>THETA CHI</v>
      </c>
      <c r="E475" t="str">
        <f>VLOOKUP(A475,'new Sector'!A:A,1,0)</f>
        <v>THETA CHI</v>
      </c>
    </row>
    <row r="476" spans="1:5" hidden="1" x14ac:dyDescent="0.3">
      <c r="A476" t="s">
        <v>573</v>
      </c>
      <c r="B476" t="e">
        <f>VLOOKUP(A476,Enrollment!A:A,1,FALSE)</f>
        <v>#N/A</v>
      </c>
      <c r="C476" t="str">
        <f>VLOOKUP(A476,Distance!A:A,1,FALSE)</f>
        <v>DELTA ZETA</v>
      </c>
      <c r="D476" t="e">
        <f>VLOOKUP(A476,Sector!A:A,1,FALSE)</f>
        <v>#N/A</v>
      </c>
      <c r="E476" t="str">
        <f>VLOOKUP(A476,'new Sector'!A:A,1,0)</f>
        <v>DELTA ZETA</v>
      </c>
    </row>
    <row r="477" spans="1:5" hidden="1" x14ac:dyDescent="0.3">
      <c r="A477" t="s">
        <v>574</v>
      </c>
      <c r="B477" t="e">
        <f>VLOOKUP(A477,Enrollment!A:A,1,FALSE)</f>
        <v>#N/A</v>
      </c>
      <c r="C477" t="str">
        <f>VLOOKUP(A477,Distance!A:A,1,FALSE)</f>
        <v>PHI MU</v>
      </c>
      <c r="D477" t="str">
        <f>VLOOKUP(A477,Sector!A:A,1,FALSE)</f>
        <v>PHI MU</v>
      </c>
      <c r="E477" t="str">
        <f>VLOOKUP(A477,'new Sector'!A:A,1,0)</f>
        <v>PHI MU</v>
      </c>
    </row>
    <row r="478" spans="1:5" hidden="1" x14ac:dyDescent="0.3">
      <c r="A478" t="s">
        <v>596</v>
      </c>
      <c r="B478" t="e">
        <f>VLOOKUP(A478,Enrollment!A:A,1,FALSE)</f>
        <v>#N/A</v>
      </c>
      <c r="C478" t="str">
        <f>VLOOKUP(A478,Distance!A:A,1,FALSE)</f>
        <v>DELTA TAU DELTA</v>
      </c>
      <c r="D478" t="str">
        <f>VLOOKUP(A478,Sector!A:A,1,FALSE)</f>
        <v>DELTA TAU DELTA</v>
      </c>
      <c r="E478" t="str">
        <f>VLOOKUP(A478,'new Sector'!A:A,1,0)</f>
        <v>DELTA TAU DELTA</v>
      </c>
    </row>
    <row r="479" spans="1:5" hidden="1" x14ac:dyDescent="0.3">
      <c r="A479" t="s">
        <v>595</v>
      </c>
      <c r="B479" t="e">
        <f>VLOOKUP(A479,Enrollment!A:A,1,FALSE)</f>
        <v>#N/A</v>
      </c>
      <c r="C479" t="str">
        <f>VLOOKUP(A479,Distance!A:A,1,FALSE)</f>
        <v>TAU EPSILON PHI</v>
      </c>
      <c r="D479" t="str">
        <f>VLOOKUP(A479,Sector!A:A,1,FALSE)</f>
        <v>TAU EPSILON PHI</v>
      </c>
      <c r="E479" t="str">
        <f>VLOOKUP(A479,'new Sector'!A:A,1,0)</f>
        <v>TAU EPSILON PHI</v>
      </c>
    </row>
    <row r="480" spans="1:5" hidden="1" x14ac:dyDescent="0.3">
      <c r="A480" t="s">
        <v>575</v>
      </c>
      <c r="B480" t="e">
        <f>VLOOKUP(A480,Enrollment!A:A,1,FALSE)</f>
        <v>#N/A</v>
      </c>
      <c r="C480" t="str">
        <f>VLOOKUP(A480,Distance!A:A,1,FALSE)</f>
        <v>ALPHA SIGMA PHI</v>
      </c>
      <c r="D480" t="str">
        <f>VLOOKUP(A480,Sector!A:A,1,FALSE)</f>
        <v>ALPHA SIGMA PHI</v>
      </c>
      <c r="E480" t="str">
        <f>VLOOKUP(A480,'new Sector'!A:A,1,0)</f>
        <v>ALPHA SIGMA PHI</v>
      </c>
    </row>
    <row r="481" spans="1:5" hidden="1" x14ac:dyDescent="0.3">
      <c r="A481" t="s">
        <v>576</v>
      </c>
      <c r="B481" t="e">
        <f>VLOOKUP(A481,Enrollment!A:A,1,FALSE)</f>
        <v>#N/A</v>
      </c>
      <c r="C481" t="str">
        <f>VLOOKUP(A481,Distance!A:A,1,FALSE)</f>
        <v>PI KAPPA PHI</v>
      </c>
      <c r="D481" t="e">
        <f>VLOOKUP(A481,Sector!A:A,1,FALSE)</f>
        <v>#N/A</v>
      </c>
      <c r="E481" t="str">
        <f>VLOOKUP(A481,'new Sector'!A:A,1,0)</f>
        <v>PI KAPPA PHI</v>
      </c>
    </row>
    <row r="482" spans="1:5" hidden="1" x14ac:dyDescent="0.3">
      <c r="A482" t="s">
        <v>577</v>
      </c>
      <c r="B482" t="e">
        <f>VLOOKUP(A482,Enrollment!A:A,1,FALSE)</f>
        <v>#N/A</v>
      </c>
      <c r="C482" t="str">
        <f>VLOOKUP(A482,Distance!A:A,1,FALSE)</f>
        <v>ALPHA XI DELTA</v>
      </c>
      <c r="D482" t="e">
        <f>VLOOKUP(A482,Sector!A:A,1,FALSE)</f>
        <v>#N/A</v>
      </c>
      <c r="E482" t="str">
        <f>VLOOKUP(A482,'new Sector'!A:A,1,0)</f>
        <v>ALPHA XI DELTA</v>
      </c>
    </row>
    <row r="483" spans="1:5" x14ac:dyDescent="0.3">
      <c r="A483" t="s">
        <v>578</v>
      </c>
      <c r="B483" t="e">
        <f>VLOOKUP(A483,Enrollment!A:A,1,FALSE)</f>
        <v>#N/A</v>
      </c>
      <c r="C483" t="str">
        <f>VLOOKUP(A483,Distance!A:A,1,FALSE)</f>
        <v>CHRISTIAN STUDENT FELLOWSHIP</v>
      </c>
      <c r="D483" t="e">
        <f>VLOOKUP(A483,Sector!A:A,1,FALSE)</f>
        <v>#N/A</v>
      </c>
      <c r="E483" t="e">
        <f>VLOOKUP(A483,'new Sector'!A:A,1,0)</f>
        <v>#N/A</v>
      </c>
    </row>
    <row r="484" spans="1:5" hidden="1" x14ac:dyDescent="0.3">
      <c r="A484" t="s">
        <v>579</v>
      </c>
      <c r="B484" t="e">
        <f>VLOOKUP(A484,Enrollment!A:A,1,FALSE)</f>
        <v>#N/A</v>
      </c>
      <c r="C484" t="str">
        <f>VLOOKUP(A484,Distance!A:A,1,FALSE)</f>
        <v>ALPHA DELTA PI</v>
      </c>
      <c r="D484" t="e">
        <f>VLOOKUP(A484,Sector!A:A,1,FALSE)</f>
        <v>#N/A</v>
      </c>
      <c r="E484" t="str">
        <f>VLOOKUP(A484,'new Sector'!A:A,1,0)</f>
        <v>ALPHA DELTA PI</v>
      </c>
    </row>
    <row r="485" spans="1:5" hidden="1" x14ac:dyDescent="0.3">
      <c r="A485" t="s">
        <v>580</v>
      </c>
      <c r="B485" t="e">
        <f>VLOOKUP(A485,Enrollment!A:A,1,FALSE)</f>
        <v>#N/A</v>
      </c>
      <c r="C485" t="str">
        <f>VLOOKUP(A485,Distance!A:A,1,FALSE)</f>
        <v>SIGMA CHI</v>
      </c>
      <c r="D485" t="e">
        <f>VLOOKUP(A485,Sector!A:A,1,FALSE)</f>
        <v>#N/A</v>
      </c>
      <c r="E485" t="str">
        <f>VLOOKUP(A485,'new Sector'!A:A,1,0)</f>
        <v>SIGMA CHI</v>
      </c>
    </row>
    <row r="486" spans="1:5" hidden="1" x14ac:dyDescent="0.3">
      <c r="A486" t="s">
        <v>581</v>
      </c>
      <c r="B486" t="e">
        <f>VLOOKUP(A486,Enrollment!A:A,1,FALSE)</f>
        <v>#N/A</v>
      </c>
      <c r="C486" t="str">
        <f>VLOOKUP(A486,Distance!A:A,1,FALSE)</f>
        <v>SIGMA ALPHA EPSILON</v>
      </c>
      <c r="D486" t="e">
        <f>VLOOKUP(A486,Sector!A:A,1,FALSE)</f>
        <v>#N/A</v>
      </c>
      <c r="E486" t="str">
        <f>VLOOKUP(A486,'new Sector'!A:A,1,0)</f>
        <v>SIGMA ALPHA EPSILON</v>
      </c>
    </row>
    <row r="487" spans="1:5" hidden="1" x14ac:dyDescent="0.3">
      <c r="A487" t="s">
        <v>582</v>
      </c>
      <c r="B487" t="e">
        <f>VLOOKUP(A487,Enrollment!A:A,1,FALSE)</f>
        <v>#N/A</v>
      </c>
      <c r="C487" t="str">
        <f>VLOOKUP(A487,Distance!A:A,1,FALSE)</f>
        <v>PHI GAMMA DELTA-NEW</v>
      </c>
      <c r="D487" t="e">
        <f>VLOOKUP(A487,Sector!A:A,1,FALSE)</f>
        <v>#N/A</v>
      </c>
      <c r="E487" t="str">
        <f>VLOOKUP(A487,'new Sector'!A:A,1,0)</f>
        <v>PHI GAMMA DELTA-NEW</v>
      </c>
    </row>
    <row r="488" spans="1:5" hidden="1" x14ac:dyDescent="0.3">
      <c r="A488" t="s">
        <v>583</v>
      </c>
      <c r="B488" t="e">
        <f>VLOOKUP(A488,Enrollment!A:A,1,FALSE)</f>
        <v>#N/A</v>
      </c>
      <c r="C488" t="str">
        <f>VLOOKUP(A488,Distance!A:A,1,FALSE)</f>
        <v>FIRE DEPARTMENT</v>
      </c>
      <c r="D488" t="str">
        <f>VLOOKUP(A488,Sector!A:A,1,FALSE)</f>
        <v>FIRE DEPARTMENT</v>
      </c>
      <c r="E488" t="str">
        <f>VLOOKUP(A488,'new Sector'!A:A,1,0)</f>
        <v>FIRE DEPARTMENT</v>
      </c>
    </row>
    <row r="489" spans="1:5" hidden="1" x14ac:dyDescent="0.3">
      <c r="A489" t="s">
        <v>584</v>
      </c>
      <c r="B489" t="e">
        <f>VLOOKUP(A489,Enrollment!A:A,1,FALSE)</f>
        <v>#N/A</v>
      </c>
      <c r="C489" t="str">
        <f>VLOOKUP(A489,Distance!A:A,1,FALSE)</f>
        <v>STONE BELT CENTER</v>
      </c>
      <c r="D489" t="str">
        <f>VLOOKUP(A489,Sector!A:A,1,FALSE)</f>
        <v>STONE BELT CENTER</v>
      </c>
      <c r="E489" t="str">
        <f>VLOOKUP(A489,'new Sector'!A:A,1,0)</f>
        <v>STONE BELT CENTER</v>
      </c>
    </row>
    <row r="490" spans="1:5" hidden="1" x14ac:dyDescent="0.3">
      <c r="A490" t="s">
        <v>585</v>
      </c>
      <c r="B490" t="e">
        <f>VLOOKUP(A490,Enrollment!A:A,1,FALSE)</f>
        <v>#N/A</v>
      </c>
      <c r="C490" t="str">
        <f>VLOOKUP(A490,Distance!A:A,1,FALSE)</f>
        <v>SCCAP GREENHOUSE</v>
      </c>
      <c r="D490" t="str">
        <f>VLOOKUP(A490,Sector!A:A,1,FALSE)</f>
        <v>SCCAP GREENHOUSE</v>
      </c>
      <c r="E490" t="str">
        <f>VLOOKUP(A490,'new Sector'!A:A,1,0)</f>
        <v>SCCAP GREENHOUSE</v>
      </c>
    </row>
    <row r="491" spans="1:5" hidden="1" x14ac:dyDescent="0.3">
      <c r="A491" t="s">
        <v>586</v>
      </c>
      <c r="B491" t="e">
        <f>VLOOKUP(A491,Enrollment!A:A,1,FALSE)</f>
        <v>#N/A</v>
      </c>
      <c r="C491" t="str">
        <f>VLOOKUP(A491,Distance!A:A,1,FALSE)</f>
        <v>CONRAD PREBYS AMPHITHEATER</v>
      </c>
      <c r="D491" t="e">
        <f>VLOOKUP(A491,Sector!A:A,1,FALSE)</f>
        <v>#N/A</v>
      </c>
      <c r="E491" t="str">
        <f>VLOOKUP(A491,'new Sector'!A:A,1,0)</f>
        <v>CONRAD PREBYS AMPHITHEATER</v>
      </c>
    </row>
    <row r="492" spans="1:5" hidden="1" x14ac:dyDescent="0.3">
      <c r="A492" t="s">
        <v>587</v>
      </c>
      <c r="B492" t="str">
        <f>VLOOKUP(A492,Enrollment!A:A,1,FALSE)</f>
        <v>Hillel Center</v>
      </c>
      <c r="C492" t="str">
        <f>VLOOKUP(A492,Distance!A:A,1,FALSE)</f>
        <v>HILLEL CENTER</v>
      </c>
      <c r="D492" t="str">
        <f>VLOOKUP(A492,Sector!A:A,1,FALSE)</f>
        <v>HILLEL CENTER</v>
      </c>
      <c r="E492" t="str">
        <f>VLOOKUP(A492,'new Sector'!A:A,1,0)</f>
        <v>HILLEL CENTER</v>
      </c>
    </row>
    <row r="493" spans="1:5" hidden="1" x14ac:dyDescent="0.3">
      <c r="A493" t="s">
        <v>588</v>
      </c>
      <c r="B493" t="e">
        <f>VLOOKUP(A493,Enrollment!A:A,1,FALSE)</f>
        <v>#N/A</v>
      </c>
      <c r="C493" t="str">
        <f>VLOOKUP(A493,Distance!A:A,1,FALSE)</f>
        <v>1708 N FEE LANE</v>
      </c>
      <c r="D493" t="str">
        <f>VLOOKUP(A493,Sector!A:A,1,FALSE)</f>
        <v>1708 N FEE LANE</v>
      </c>
      <c r="E493" t="str">
        <f>VLOOKUP(A493,'new Sector'!A:A,1,0)</f>
        <v>1708 N FEE LANE</v>
      </c>
    </row>
    <row r="494" spans="1:5" hidden="1" x14ac:dyDescent="0.3">
      <c r="A494" t="s">
        <v>589</v>
      </c>
      <c r="B494" t="e">
        <f>VLOOKUP(A494,Enrollment!A:A,1,FALSE)</f>
        <v>#N/A</v>
      </c>
      <c r="C494" t="str">
        <f>VLOOKUP(A494,Distance!A:A,1,FALSE)</f>
        <v>828 E COTTAGE GROVE</v>
      </c>
      <c r="D494" t="str">
        <f>VLOOKUP(A494,Sector!A:A,1,FALSE)</f>
        <v>828 E COTTAGE GROVE</v>
      </c>
      <c r="E494" t="str">
        <f>VLOOKUP(A494,'new Sector'!A:A,1,0)</f>
        <v>828 E COTTAGE GROVE</v>
      </c>
    </row>
    <row r="495" spans="1:5" hidden="1" x14ac:dyDescent="0.3">
      <c r="A495" t="s">
        <v>590</v>
      </c>
      <c r="B495" t="e">
        <f>VLOOKUP(A495,Enrollment!A:A,1,FALSE)</f>
        <v>#N/A</v>
      </c>
      <c r="C495" t="str">
        <f>VLOOKUP(A495,Distance!A:A,1,FALSE)</f>
        <v>829 E COTTAGE GROVE</v>
      </c>
      <c r="D495" t="str">
        <f>VLOOKUP(A495,Sector!A:A,1,FALSE)</f>
        <v>829 E COTTAGE GROVE</v>
      </c>
      <c r="E495" t="str">
        <f>VLOOKUP(A495,'new Sector'!A:A,1,0)</f>
        <v>829 E COTTAGE GROVE</v>
      </c>
    </row>
    <row r="496" spans="1:5" hidden="1" x14ac:dyDescent="0.3">
      <c r="A496" t="s">
        <v>591</v>
      </c>
      <c r="B496" t="e">
        <f>VLOOKUP(A496,Enrollment!A:A,1,FALSE)</f>
        <v>#N/A</v>
      </c>
      <c r="C496" t="str">
        <f>VLOOKUP(A496,Distance!A:A,1,FALSE)</f>
        <v>FORREST AVENUE PARKING GARAGE</v>
      </c>
      <c r="D496" t="str">
        <f>VLOOKUP(A496,Sector!A:A,1,FALSE)</f>
        <v>FORREST AVENUE PARKING GARAGE</v>
      </c>
      <c r="E496" t="str">
        <f>VLOOKUP(A496,'new Sector'!A:A,1,0)</f>
        <v>FORREST AVENUE PARKING GARAGE</v>
      </c>
    </row>
    <row r="497" spans="1:5" x14ac:dyDescent="0.3">
      <c r="A497" t="s">
        <v>619</v>
      </c>
      <c r="B497" t="e">
        <f>VLOOKUP(A497,Enrollment!A:A,1,FALSE)</f>
        <v>#N/A</v>
      </c>
      <c r="C497" t="str">
        <f>VLOOKUP(A497,Distance!A:A,1,FALSE)</f>
        <v>5001 N STATE ROAD 37</v>
      </c>
      <c r="D497" t="e">
        <f>VLOOKUP(A497,Sector!A:A,1,FALSE)</f>
        <v>#N/A</v>
      </c>
      <c r="E497" t="e">
        <f>VLOOKUP(A497,'new Sector'!A:A,1,0)</f>
        <v>#N/A</v>
      </c>
    </row>
    <row r="498" spans="1:5" hidden="1" x14ac:dyDescent="0.3">
      <c r="A498" t="s">
        <v>603</v>
      </c>
      <c r="B498" t="e">
        <f>VLOOKUP(A498,Enrollment!A:A,1,FALSE)</f>
        <v>#N/A</v>
      </c>
      <c r="C498" t="str">
        <f>VLOOKUP(A498,Distance!A:A,1,FALSE)</f>
        <v>FERGUSON INTERNATIONAL CENTER</v>
      </c>
      <c r="D498" t="str">
        <f>VLOOKUP(A498,Sector!A:A,1,FALSE)</f>
        <v>FERGUSON INTERNATIONAL CENTER</v>
      </c>
      <c r="E498" t="str">
        <f>VLOOKUP(A498,'new Sector'!A:A,1,0)</f>
        <v>FERGUSON INTERNATIONAL CENTER</v>
      </c>
    </row>
    <row r="499" spans="1:5" x14ac:dyDescent="0.3">
      <c r="A499" t="s">
        <v>620</v>
      </c>
      <c r="B499" t="e">
        <f>VLOOKUP(A499,Enrollment!A:A,1,FALSE)</f>
        <v>#N/A</v>
      </c>
      <c r="C499" t="str">
        <f>VLOOKUP(A499,Distance!A:A,1,FALSE)</f>
        <v>BUILDING B</v>
      </c>
      <c r="D499" t="e">
        <f>VLOOKUP(A499,Sector!A:A,1,FALSE)</f>
        <v>#N/A</v>
      </c>
      <c r="E499" t="e">
        <f>VLOOKUP(A499,'new Sector'!A:A,1,0)</f>
        <v>#N/A</v>
      </c>
    </row>
    <row r="500" spans="1:5" x14ac:dyDescent="0.3">
      <c r="A500" t="s">
        <v>621</v>
      </c>
      <c r="B500" t="e">
        <f>VLOOKUP(A500,Enrollment!A:A,1,FALSE)</f>
        <v>#N/A</v>
      </c>
      <c r="C500" t="str">
        <f>VLOOKUP(A500,Distance!A:A,1,FALSE)</f>
        <v>BUILDING E</v>
      </c>
      <c r="D500" t="e">
        <f>VLOOKUP(A500,Sector!A:A,1,FALSE)</f>
        <v>#N/A</v>
      </c>
      <c r="E500" t="e">
        <f>VLOOKUP(A500,'new Sector'!A:A,1,0)</f>
        <v>#N/A</v>
      </c>
    </row>
    <row r="501" spans="1:5" x14ac:dyDescent="0.3">
      <c r="A501" t="s">
        <v>622</v>
      </c>
      <c r="B501" t="e">
        <f>VLOOKUP(A501,Enrollment!A:A,1,FALSE)</f>
        <v>#N/A</v>
      </c>
      <c r="C501" t="str">
        <f>VLOOKUP(A501,Distance!A:A,1,FALSE)</f>
        <v>BUILDING F</v>
      </c>
      <c r="D501" t="e">
        <f>VLOOKUP(A501,Sector!A:A,1,FALSE)</f>
        <v>#N/A</v>
      </c>
      <c r="E501" t="e">
        <f>VLOOKUP(A501,'new Sector'!A:A,1,0)</f>
        <v>#N/A</v>
      </c>
    </row>
    <row r="502" spans="1:5" x14ac:dyDescent="0.3">
      <c r="A502" t="s">
        <v>623</v>
      </c>
      <c r="B502" t="e">
        <f>VLOOKUP(A502,Enrollment!A:A,1,FALSE)</f>
        <v>#N/A</v>
      </c>
      <c r="C502" t="str">
        <f>VLOOKUP(A502,Distance!A:A,1,FALSE)</f>
        <v>BUILDING G</v>
      </c>
      <c r="D502" t="e">
        <f>VLOOKUP(A502,Sector!A:A,1,FALSE)</f>
        <v>#N/A</v>
      </c>
      <c r="E502" t="e">
        <f>VLOOKUP(A502,'new Sector'!A:A,1,0)</f>
        <v>#N/A</v>
      </c>
    </row>
    <row r="503" spans="1:5" x14ac:dyDescent="0.3">
      <c r="A503" t="s">
        <v>624</v>
      </c>
      <c r="B503" t="e">
        <f>VLOOKUP(A503,Enrollment!A:A,1,FALSE)</f>
        <v>#N/A</v>
      </c>
      <c r="C503" t="str">
        <f>VLOOKUP(A503,Distance!A:A,1,FALSE)</f>
        <v>BUILDING H</v>
      </c>
      <c r="D503" t="e">
        <f>VLOOKUP(A503,Sector!A:A,1,FALSE)</f>
        <v>#N/A</v>
      </c>
      <c r="E503" t="e">
        <f>VLOOKUP(A503,'new Sector'!A:A,1,0)</f>
        <v>#N/A</v>
      </c>
    </row>
    <row r="504" spans="1:5" x14ac:dyDescent="0.3">
      <c r="A504" t="s">
        <v>625</v>
      </c>
      <c r="B504" t="e">
        <f>VLOOKUP(A504,Enrollment!A:A,1,FALSE)</f>
        <v>#N/A</v>
      </c>
      <c r="C504" t="str">
        <f>VLOOKUP(A504,Distance!A:A,1,FALSE)</f>
        <v>BUILDING I</v>
      </c>
      <c r="D504" t="e">
        <f>VLOOKUP(A504,Sector!A:A,1,FALSE)</f>
        <v>#N/A</v>
      </c>
      <c r="E504" t="e">
        <f>VLOOKUP(A504,'new Sector'!A:A,1,0)</f>
        <v>#N/A</v>
      </c>
    </row>
    <row r="505" spans="1:5" x14ac:dyDescent="0.3">
      <c r="A505" t="s">
        <v>626</v>
      </c>
      <c r="B505" t="e">
        <f>VLOOKUP(A505,Enrollment!A:A,1,FALSE)</f>
        <v>#N/A</v>
      </c>
      <c r="C505" t="str">
        <f>VLOOKUP(A505,Distance!A:A,1,FALSE)</f>
        <v>BUILDING A</v>
      </c>
      <c r="D505" t="e">
        <f>VLOOKUP(A505,Sector!A:A,1,FALSE)</f>
        <v>#N/A</v>
      </c>
      <c r="E505" t="e">
        <f>VLOOKUP(A505,'new Sector'!A:A,1,0)</f>
        <v>#N/A</v>
      </c>
    </row>
    <row r="506" spans="1:5" hidden="1" x14ac:dyDescent="0.3">
      <c r="A506" t="s">
        <v>627</v>
      </c>
      <c r="B506" t="e">
        <f>VLOOKUP(A506,Enrollment!A:A,1,FALSE)</f>
        <v>#N/A</v>
      </c>
      <c r="C506" t="str">
        <f>VLOOKUP(A506,Distance!A:A,1,FALSE)</f>
        <v>320 S EASTSIDE DR</v>
      </c>
      <c r="D506" t="e">
        <f>VLOOKUP(A506,Sector!A:A,1,FALSE)</f>
        <v>#N/A</v>
      </c>
      <c r="E506" t="str">
        <f>VLOOKUP(A506,'new Sector'!A:A,1,0)</f>
        <v>320 S EASTSIDE DR</v>
      </c>
    </row>
    <row r="507" spans="1:5" hidden="1" x14ac:dyDescent="0.3">
      <c r="A507" t="s">
        <v>594</v>
      </c>
      <c r="B507" t="e">
        <f>VLOOKUP(A507,Enrollment!A:A,1,FALSE)</f>
        <v>#N/A</v>
      </c>
      <c r="C507" t="str">
        <f>VLOOKUP(A507,Distance!A:A,1,FALSE)</f>
        <v>FIELD HOCKEY PRESSBOX</v>
      </c>
      <c r="D507" t="str">
        <f>VLOOKUP(A507,Sector!A:A,1,FALSE)</f>
        <v>FIELD HOCKEY PRESSBOX</v>
      </c>
      <c r="E507" t="str">
        <f>VLOOKUP(A507,'new Sector'!A:A,1,0)</f>
        <v>FIELD HOCKEY PRESSBOX</v>
      </c>
    </row>
  </sheetData>
  <autoFilter ref="A1:E510" xr:uid="{A66ED682-EBAB-4479-BD67-434B87CFC307}">
    <filterColumn colId="4">
      <filters>
        <filter val="#N/A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39F7-A1C5-4C21-94C6-794163DC9857}">
  <sheetPr filterMode="1"/>
  <dimension ref="A1:D507"/>
  <sheetViews>
    <sheetView workbookViewId="0"/>
  </sheetViews>
  <sheetFormatPr defaultRowHeight="14.4" x14ac:dyDescent="0.3"/>
  <cols>
    <col min="1" max="1" width="48.21875" bestFit="1" customWidth="1"/>
    <col min="2" max="2" width="28.77734375" bestFit="1" customWidth="1"/>
    <col min="3" max="3" width="48.21875" bestFit="1" customWidth="1"/>
    <col min="4" max="4" width="43.77734375" bestFit="1" customWidth="1"/>
  </cols>
  <sheetData>
    <row r="1" spans="1:4" x14ac:dyDescent="0.3">
      <c r="A1" t="s">
        <v>592</v>
      </c>
      <c r="B1" t="s">
        <v>613</v>
      </c>
      <c r="C1" t="s">
        <v>610</v>
      </c>
      <c r="D1" t="s">
        <v>612</v>
      </c>
    </row>
    <row r="2" spans="1:4" hidden="1" x14ac:dyDescent="0.3">
      <c r="A2" t="s">
        <v>383</v>
      </c>
      <c r="B2" t="e">
        <f>VLOOKUP(A2,Enrollment!A:A,1,FALSE)</f>
        <v>#N/A</v>
      </c>
      <c r="C2" t="str">
        <f>VLOOKUP(A2,Building!A:A,1,FALSE)</f>
        <v>1000 N INDIANA AVE</v>
      </c>
      <c r="D2" t="e">
        <f>VLOOKUP(A2,Sector!A:A,1,FALSE)</f>
        <v>#N/A</v>
      </c>
    </row>
    <row r="3" spans="1:4" hidden="1" x14ac:dyDescent="0.3">
      <c r="A3" t="s">
        <v>488</v>
      </c>
      <c r="B3" t="e">
        <f>VLOOKUP(A3,Enrollment!A:A,1,FALSE)</f>
        <v>#N/A</v>
      </c>
      <c r="C3" t="str">
        <f>VLOOKUP(A3,Building!A:A,1,FALSE)</f>
        <v>1001 E SR 45 46 BYP</v>
      </c>
      <c r="D3" t="str">
        <f>VLOOKUP(A3,Sector!A:A,1,FALSE)</f>
        <v>1001 E SR 45 46 BYP</v>
      </c>
    </row>
    <row r="4" spans="1:4" hidden="1" x14ac:dyDescent="0.3">
      <c r="A4" t="s">
        <v>529</v>
      </c>
      <c r="B4" t="e">
        <f>VLOOKUP(A4,Enrollment!A:A,1,FALSE)</f>
        <v>#N/A</v>
      </c>
      <c r="C4" t="str">
        <f>VLOOKUP(A4,Building!A:A,1,FALSE)</f>
        <v>1015 E ATWATER AVE</v>
      </c>
      <c r="D4" t="str">
        <f>VLOOKUP(A4,Sector!A:A,1,FALSE)</f>
        <v>1015 E ATWATER AVE</v>
      </c>
    </row>
    <row r="5" spans="1:4" hidden="1" x14ac:dyDescent="0.3">
      <c r="A5" t="s">
        <v>355</v>
      </c>
      <c r="B5" t="e">
        <f>VLOOKUP(A5,Enrollment!A:A,1,FALSE)</f>
        <v>#N/A</v>
      </c>
      <c r="C5" t="str">
        <f>VLOOKUP(A5,Building!A:A,1,FALSE)</f>
        <v>102 S BRYAN AVE</v>
      </c>
      <c r="D5" t="e">
        <f>VLOOKUP(A5,Sector!A:A,1,FALSE)</f>
        <v>#N/A</v>
      </c>
    </row>
    <row r="6" spans="1:4" hidden="1" x14ac:dyDescent="0.3">
      <c r="A6" t="s">
        <v>381</v>
      </c>
      <c r="B6" t="e">
        <f>VLOOKUP(A6,Enrollment!A:A,1,FALSE)</f>
        <v>#N/A</v>
      </c>
      <c r="C6" t="str">
        <f>VLOOKUP(A6,Building!A:A,1,FALSE)</f>
        <v>1020 N INDIANA AVE</v>
      </c>
      <c r="D6" t="str">
        <f>VLOOKUP(A6,Sector!A:A,1,FALSE)</f>
        <v>1020 N INDIANA AVE</v>
      </c>
    </row>
    <row r="7" spans="1:4" hidden="1" x14ac:dyDescent="0.3">
      <c r="A7" t="s">
        <v>356</v>
      </c>
      <c r="B7" t="e">
        <f>VLOOKUP(A7,Enrollment!A:A,1,FALSE)</f>
        <v>#N/A</v>
      </c>
      <c r="C7" t="str">
        <f>VLOOKUP(A7,Building!A:A,1,FALSE)</f>
        <v>104 S BRYAN AVE</v>
      </c>
      <c r="D7" t="e">
        <f>VLOOKUP(A7,Sector!A:A,1,FALSE)</f>
        <v>#N/A</v>
      </c>
    </row>
    <row r="8" spans="1:4" hidden="1" x14ac:dyDescent="0.3">
      <c r="A8" t="s">
        <v>528</v>
      </c>
      <c r="B8" t="e">
        <f>VLOOKUP(A8,Enrollment!A:A,1,FALSE)</f>
        <v>#N/A</v>
      </c>
      <c r="C8" t="str">
        <f>VLOOKUP(A8,Building!A:A,1,FALSE)</f>
        <v>1103 E ATWATER AVE</v>
      </c>
      <c r="D8" t="str">
        <f>VLOOKUP(A8,Sector!A:A,1,FALSE)</f>
        <v>1103 E ATWATER AVE</v>
      </c>
    </row>
    <row r="9" spans="1:4" hidden="1" x14ac:dyDescent="0.3">
      <c r="A9" t="s">
        <v>425</v>
      </c>
      <c r="B9" t="e">
        <f>VLOOKUP(A9,Enrollment!A:A,1,FALSE)</f>
        <v>#N/A</v>
      </c>
      <c r="C9" t="str">
        <f>VLOOKUP(A9,Building!A:A,1,FALSE)</f>
        <v>1103 N FESS AVE</v>
      </c>
      <c r="D9" t="str">
        <f>VLOOKUP(A9,Sector!A:A,1,FALSE)</f>
        <v>1103 N FESS AVE</v>
      </c>
    </row>
    <row r="10" spans="1:4" hidden="1" x14ac:dyDescent="0.3">
      <c r="A10" t="s">
        <v>404</v>
      </c>
      <c r="B10" t="e">
        <f>VLOOKUP(A10,Enrollment!A:A,1,FALSE)</f>
        <v>#N/A</v>
      </c>
      <c r="C10" t="str">
        <f>VLOOKUP(A10,Building!A:A,1,FALSE)</f>
        <v>1104 N WOODLAWN AVE</v>
      </c>
      <c r="D10" t="e">
        <f>VLOOKUP(A10,Sector!A:A,1,FALSE)</f>
        <v>#N/A</v>
      </c>
    </row>
    <row r="11" spans="1:4" hidden="1" x14ac:dyDescent="0.3">
      <c r="A11" t="s">
        <v>520</v>
      </c>
      <c r="B11" t="e">
        <f>VLOOKUP(A11,Enrollment!A:A,1,FALSE)</f>
        <v>#N/A</v>
      </c>
      <c r="C11" t="str">
        <f>VLOOKUP(A11,Building!A:A,1,FALSE)</f>
        <v>1105 E ATWATER AVE</v>
      </c>
      <c r="D11" t="str">
        <f>VLOOKUP(A11,Sector!A:A,1,FALSE)</f>
        <v>1105 E ATWATER AVE</v>
      </c>
    </row>
    <row r="12" spans="1:4" hidden="1" x14ac:dyDescent="0.3">
      <c r="A12" t="s">
        <v>405</v>
      </c>
      <c r="B12" t="e">
        <f>VLOOKUP(A12,Enrollment!A:A,1,FALSE)</f>
        <v>#N/A</v>
      </c>
      <c r="C12" t="str">
        <f>VLOOKUP(A12,Building!A:A,1,FALSE)</f>
        <v>1106 N WOODLAWN AVE</v>
      </c>
      <c r="D12" t="e">
        <f>VLOOKUP(A12,Sector!A:A,1,FALSE)</f>
        <v>#N/A</v>
      </c>
    </row>
    <row r="13" spans="1:4" hidden="1" x14ac:dyDescent="0.3">
      <c r="A13" t="s">
        <v>361</v>
      </c>
      <c r="B13" t="e">
        <f>VLOOKUP(A13,Enrollment!A:A,1,FALSE)</f>
        <v>#N/A</v>
      </c>
      <c r="C13" t="str">
        <f>VLOOKUP(A13,Building!A:A,1,FALSE)</f>
        <v>111 N BRYAN AVE</v>
      </c>
      <c r="D13" t="str">
        <f>VLOOKUP(A13,Sector!A:A,1,FALSE)</f>
        <v>111 N BRYAN AVE</v>
      </c>
    </row>
    <row r="14" spans="1:4" hidden="1" x14ac:dyDescent="0.3">
      <c r="A14" t="s">
        <v>387</v>
      </c>
      <c r="B14" t="e">
        <f>VLOOKUP(A14,Enrollment!A:A,1,FALSE)</f>
        <v>#N/A</v>
      </c>
      <c r="C14" t="str">
        <f>VLOOKUP(A14,Building!A:A,1,FALSE)</f>
        <v>1112 INDIANA GARAGE</v>
      </c>
      <c r="D14" t="e">
        <f>VLOOKUP(A14,Sector!A:A,1,FALSE)</f>
        <v>#N/A</v>
      </c>
    </row>
    <row r="15" spans="1:4" hidden="1" x14ac:dyDescent="0.3">
      <c r="A15" t="s">
        <v>386</v>
      </c>
      <c r="B15" t="e">
        <f>VLOOKUP(A15,Enrollment!A:A,1,FALSE)</f>
        <v>#N/A</v>
      </c>
      <c r="C15" t="str">
        <f>VLOOKUP(A15,Building!A:A,1,FALSE)</f>
        <v>1112 N INDIANA AVE</v>
      </c>
      <c r="D15" t="str">
        <f>VLOOKUP(A15,Sector!A:A,1,FALSE)</f>
        <v>1112 N INDIANA AVE</v>
      </c>
    </row>
    <row r="16" spans="1:4" hidden="1" x14ac:dyDescent="0.3">
      <c r="A16" t="s">
        <v>382</v>
      </c>
      <c r="B16" t="e">
        <f>VLOOKUP(A16,Enrollment!A:A,1,FALSE)</f>
        <v>#N/A</v>
      </c>
      <c r="C16" t="str">
        <f>VLOOKUP(A16,Building!A:A,1,FALSE)</f>
        <v>1114 INDIANA GARAGE</v>
      </c>
      <c r="D16" t="str">
        <f>VLOOKUP(A16,Sector!A:A,1,FALSE)</f>
        <v>1114 INDIANA GARAGE</v>
      </c>
    </row>
    <row r="17" spans="1:4" hidden="1" x14ac:dyDescent="0.3">
      <c r="A17" t="s">
        <v>525</v>
      </c>
      <c r="B17" t="e">
        <f>VLOOKUP(A17,Enrollment!A:A,1,FALSE)</f>
        <v>#N/A</v>
      </c>
      <c r="C17" t="str">
        <f>VLOOKUP(A17,Building!A:A,1,FALSE)</f>
        <v>1125 E ATWATER AVE</v>
      </c>
      <c r="D17" t="e">
        <f>VLOOKUP(A17,Sector!A:A,1,FALSE)</f>
        <v>#N/A</v>
      </c>
    </row>
    <row r="18" spans="1:4" hidden="1" x14ac:dyDescent="0.3">
      <c r="A18" t="s">
        <v>615</v>
      </c>
      <c r="B18" t="e">
        <f>VLOOKUP(A18,Enrollment!A:A,1,FALSE)</f>
        <v>#N/A</v>
      </c>
      <c r="C18" t="str">
        <f>VLOOKUP(A18,Building!A:A,1,FALSE)</f>
        <v>1127 E ATWATER AVE</v>
      </c>
      <c r="D18" t="e">
        <f>VLOOKUP(A18,Sector!A:A,1,FALSE)</f>
        <v>#N/A</v>
      </c>
    </row>
    <row r="19" spans="1:4" hidden="1" x14ac:dyDescent="0.3">
      <c r="A19" t="s">
        <v>527</v>
      </c>
      <c r="B19" t="e">
        <f>VLOOKUP(A19,Enrollment!A:A,1,FALSE)</f>
        <v>#N/A</v>
      </c>
      <c r="C19" t="str">
        <f>VLOOKUP(A19,Building!A:A,1,FALSE)</f>
        <v>1129 E ATWATER AVE</v>
      </c>
      <c r="D19" t="str">
        <f>VLOOKUP(A19,Sector!A:A,1,FALSE)</f>
        <v>1129 E ATWATER AVE</v>
      </c>
    </row>
    <row r="20" spans="1:4" hidden="1" x14ac:dyDescent="0.3">
      <c r="A20" t="s">
        <v>357</v>
      </c>
      <c r="B20" t="e">
        <f>VLOOKUP(A20,Enrollment!A:A,1,FALSE)</f>
        <v>#N/A</v>
      </c>
      <c r="C20" t="str">
        <f>VLOOKUP(A20,Building!A:A,1,FALSE)</f>
        <v>113 N BRYAN AVE</v>
      </c>
      <c r="D20" t="str">
        <f>VLOOKUP(A20,Sector!A:A,1,FALSE)</f>
        <v>113 N BRYAN AVE</v>
      </c>
    </row>
    <row r="21" spans="1:4" hidden="1" x14ac:dyDescent="0.3">
      <c r="A21" t="s">
        <v>348</v>
      </c>
      <c r="B21" t="e">
        <f>VLOOKUP(A21,Enrollment!A:A,1,FALSE)</f>
        <v>#N/A</v>
      </c>
      <c r="C21" t="str">
        <f>VLOOKUP(A21,Building!A:A,1,FALSE)</f>
        <v>117 S UNION ST</v>
      </c>
      <c r="D21" t="str">
        <f>VLOOKUP(A21,Sector!A:A,1,FALSE)</f>
        <v>117 S UNION ST</v>
      </c>
    </row>
    <row r="22" spans="1:4" hidden="1" x14ac:dyDescent="0.3">
      <c r="A22" t="s">
        <v>354</v>
      </c>
      <c r="B22" t="e">
        <f>VLOOKUP(A22,Enrollment!A:A,1,FALSE)</f>
        <v>#N/A</v>
      </c>
      <c r="C22" t="str">
        <f>VLOOKUP(A22,Building!A:A,1,FALSE)</f>
        <v>118 S BRYAN AVE</v>
      </c>
      <c r="D22" t="e">
        <f>VLOOKUP(A22,Sector!A:A,1,FALSE)</f>
        <v>#N/A</v>
      </c>
    </row>
    <row r="23" spans="1:4" hidden="1" x14ac:dyDescent="0.3">
      <c r="A23" t="s">
        <v>358</v>
      </c>
      <c r="B23" t="e">
        <f>VLOOKUP(A23,Enrollment!A:A,1,FALSE)</f>
        <v>#N/A</v>
      </c>
      <c r="C23" t="str">
        <f>VLOOKUP(A23,Building!A:A,1,FALSE)</f>
        <v>120 N BRYAN AVE</v>
      </c>
      <c r="D23" t="str">
        <f>VLOOKUP(A23,Sector!A:A,1,FALSE)</f>
        <v>120 N BRYAN AVE</v>
      </c>
    </row>
    <row r="24" spans="1:4" hidden="1" x14ac:dyDescent="0.3">
      <c r="A24" t="s">
        <v>353</v>
      </c>
      <c r="B24" t="e">
        <f>VLOOKUP(A24,Enrollment!A:A,1,FALSE)</f>
        <v>#N/A</v>
      </c>
      <c r="C24" t="str">
        <f>VLOOKUP(A24,Building!A:A,1,FALSE)</f>
        <v>120 S BRYAN AVE</v>
      </c>
      <c r="D24" t="e">
        <f>VLOOKUP(A24,Sector!A:A,1,FALSE)</f>
        <v>#N/A</v>
      </c>
    </row>
    <row r="25" spans="1:4" hidden="1" x14ac:dyDescent="0.3">
      <c r="A25" t="s">
        <v>530</v>
      </c>
      <c r="B25" t="e">
        <f>VLOOKUP(A25,Enrollment!A:A,1,FALSE)</f>
        <v>#N/A</v>
      </c>
      <c r="C25" t="str">
        <f>VLOOKUP(A25,Building!A:A,1,FALSE)</f>
        <v>1200 E ATWATER AVE</v>
      </c>
      <c r="D25" t="str">
        <f>VLOOKUP(A25,Sector!A:A,1,FALSE)</f>
        <v>1200 E ATWATER AVE</v>
      </c>
    </row>
    <row r="26" spans="1:4" hidden="1" x14ac:dyDescent="0.3">
      <c r="A26" t="s">
        <v>406</v>
      </c>
      <c r="B26" t="e">
        <f>VLOOKUP(A26,Enrollment!A:A,1,FALSE)</f>
        <v>#N/A</v>
      </c>
      <c r="C26" t="str">
        <f>VLOOKUP(A26,Building!A:A,1,FALSE)</f>
        <v>1202 N WOODLAWN AVE</v>
      </c>
      <c r="D26" t="e">
        <f>VLOOKUP(A26,Sector!A:A,1,FALSE)</f>
        <v>#N/A</v>
      </c>
    </row>
    <row r="27" spans="1:4" hidden="1" x14ac:dyDescent="0.3">
      <c r="A27" t="s">
        <v>517</v>
      </c>
      <c r="B27" t="e">
        <f>VLOOKUP(A27,Enrollment!A:A,1,FALSE)</f>
        <v>#N/A</v>
      </c>
      <c r="C27" t="str">
        <f>VLOOKUP(A27,Building!A:A,1,FALSE)</f>
        <v>1203 E MATLOCK RD</v>
      </c>
      <c r="D27" t="str">
        <f>VLOOKUP(A27,Sector!A:A,1,FALSE)</f>
        <v>1203 E MATLOCK RD</v>
      </c>
    </row>
    <row r="28" spans="1:4" hidden="1" x14ac:dyDescent="0.3">
      <c r="A28" t="s">
        <v>518</v>
      </c>
      <c r="B28" t="e">
        <f>VLOOKUP(A28,Enrollment!A:A,1,FALSE)</f>
        <v>#N/A</v>
      </c>
      <c r="C28" t="str">
        <f>VLOOKUP(A28,Building!A:A,1,FALSE)</f>
        <v>1209 E MATLOCK RD</v>
      </c>
      <c r="D28" t="str">
        <f>VLOOKUP(A28,Sector!A:A,1,FALSE)</f>
        <v>1209 E MATLOCK RD</v>
      </c>
    </row>
    <row r="29" spans="1:4" hidden="1" x14ac:dyDescent="0.3">
      <c r="A29" t="s">
        <v>359</v>
      </c>
      <c r="B29" t="e">
        <f>VLOOKUP(A29,Enrollment!A:A,1,FALSE)</f>
        <v>#N/A</v>
      </c>
      <c r="C29" t="str">
        <f>VLOOKUP(A29,Building!A:A,1,FALSE)</f>
        <v>121 N BRYAN AVE</v>
      </c>
      <c r="D29" t="str">
        <f>VLOOKUP(A29,Sector!A:A,1,FALSE)</f>
        <v>121 N BRYAN AVE</v>
      </c>
    </row>
    <row r="30" spans="1:4" hidden="1" x14ac:dyDescent="0.3">
      <c r="A30" t="s">
        <v>521</v>
      </c>
      <c r="B30" t="e">
        <f>VLOOKUP(A30,Enrollment!A:A,1,FALSE)</f>
        <v>#N/A</v>
      </c>
      <c r="C30" t="str">
        <f>VLOOKUP(A30,Building!A:A,1,FALSE)</f>
        <v>1211 E ATWATER AVE</v>
      </c>
      <c r="D30" t="str">
        <f>VLOOKUP(A30,Sector!A:A,1,FALSE)</f>
        <v>1211 E ATWATER AVE</v>
      </c>
    </row>
    <row r="31" spans="1:4" hidden="1" x14ac:dyDescent="0.3">
      <c r="A31" t="s">
        <v>526</v>
      </c>
      <c r="B31" t="e">
        <f>VLOOKUP(A31,Enrollment!A:A,1,FALSE)</f>
        <v>#N/A</v>
      </c>
      <c r="C31" t="str">
        <f>VLOOKUP(A31,Building!A:A,1,FALSE)</f>
        <v>1211.5 E ATWATER AVE</v>
      </c>
      <c r="D31" t="str">
        <f>VLOOKUP(A31,Sector!A:A,1,FALSE)</f>
        <v>1211.5 E ATWATER AVE</v>
      </c>
    </row>
    <row r="32" spans="1:4" hidden="1" x14ac:dyDescent="0.3">
      <c r="A32" t="s">
        <v>532</v>
      </c>
      <c r="B32" t="e">
        <f>VLOOKUP(A32,Enrollment!A:A,1,FALSE)</f>
        <v>#N/A</v>
      </c>
      <c r="C32" t="str">
        <f>VLOOKUP(A32,Building!A:A,1,FALSE)</f>
        <v>1212 E ATWATER AVE</v>
      </c>
      <c r="D32" t="str">
        <f>VLOOKUP(A32,Sector!A:A,1,FALSE)</f>
        <v>1212 E ATWATER AVE</v>
      </c>
    </row>
    <row r="33" spans="1:4" hidden="1" x14ac:dyDescent="0.3">
      <c r="A33" t="s">
        <v>407</v>
      </c>
      <c r="B33" t="e">
        <f>VLOOKUP(A33,Enrollment!A:A,1,FALSE)</f>
        <v>#N/A</v>
      </c>
      <c r="C33" t="str">
        <f>VLOOKUP(A33,Building!A:A,1,FALSE)</f>
        <v>1216 N WOODLAWN AVE</v>
      </c>
      <c r="D33" t="e">
        <f>VLOOKUP(A33,Sector!A:A,1,FALSE)</f>
        <v>#N/A</v>
      </c>
    </row>
    <row r="34" spans="1:4" hidden="1" x14ac:dyDescent="0.3">
      <c r="A34" t="s">
        <v>523</v>
      </c>
      <c r="B34" t="e">
        <f>VLOOKUP(A34,Enrollment!A:A,1,FALSE)</f>
        <v>#N/A</v>
      </c>
      <c r="C34" t="str">
        <f>VLOOKUP(A34,Building!A:A,1,FALSE)</f>
        <v>1217 E ATWATER</v>
      </c>
      <c r="D34" t="str">
        <f>VLOOKUP(A34,Sector!A:A,1,FALSE)</f>
        <v>1217 E ATWATER</v>
      </c>
    </row>
    <row r="35" spans="1:4" hidden="1" x14ac:dyDescent="0.3">
      <c r="A35" t="s">
        <v>531</v>
      </c>
      <c r="B35" t="e">
        <f>VLOOKUP(A35,Enrollment!A:A,1,FALSE)</f>
        <v>#N/A</v>
      </c>
      <c r="C35" t="str">
        <f>VLOOKUP(A35,Building!A:A,1,FALSE)</f>
        <v>1220 E ATWATER AVE</v>
      </c>
      <c r="D35" t="str">
        <f>VLOOKUP(A35,Sector!A:A,1,FALSE)</f>
        <v>1220 E ATWATER AVE</v>
      </c>
    </row>
    <row r="36" spans="1:4" hidden="1" x14ac:dyDescent="0.3">
      <c r="A36" t="s">
        <v>439</v>
      </c>
      <c r="B36" t="e">
        <f>VLOOKUP(A36,Enrollment!A:A,1,FALSE)</f>
        <v>#N/A</v>
      </c>
      <c r="C36" t="str">
        <f>VLOOKUP(A36,Building!A:A,1,FALSE)</f>
        <v>1319 E 10TH ST</v>
      </c>
      <c r="D36" t="str">
        <f>VLOOKUP(A36,Sector!A:A,1,FALSE)</f>
        <v>1319 E 10TH ST</v>
      </c>
    </row>
    <row r="37" spans="1:4" hidden="1" x14ac:dyDescent="0.3">
      <c r="A37" t="s">
        <v>440</v>
      </c>
      <c r="B37" t="e">
        <f>VLOOKUP(A37,Enrollment!A:A,1,FALSE)</f>
        <v>#N/A</v>
      </c>
      <c r="C37" t="str">
        <f>VLOOKUP(A37,Building!A:A,1,FALSE)</f>
        <v>1357 E 10TH ST</v>
      </c>
      <c r="D37" t="str">
        <f>VLOOKUP(A37,Sector!A:A,1,FALSE)</f>
        <v>1357 E 10TH ST</v>
      </c>
    </row>
    <row r="38" spans="1:4" hidden="1" x14ac:dyDescent="0.3">
      <c r="A38" t="s">
        <v>303</v>
      </c>
      <c r="B38" t="e">
        <f>VLOOKUP(A38,Enrollment!A:A,1,FALSE)</f>
        <v>#N/A</v>
      </c>
      <c r="C38" t="str">
        <f>VLOOKUP(A38,Building!A:A,1,FALSE)</f>
        <v>1514 E 3RD ST</v>
      </c>
      <c r="D38" t="str">
        <f>VLOOKUP(A38,Sector!A:A,1,FALSE)</f>
        <v>1514 E 3RD ST</v>
      </c>
    </row>
    <row r="39" spans="1:4" hidden="1" x14ac:dyDescent="0.3">
      <c r="A39" t="s">
        <v>304</v>
      </c>
      <c r="B39" t="e">
        <f>VLOOKUP(A39,Enrollment!A:A,1,FALSE)</f>
        <v>#N/A</v>
      </c>
      <c r="C39" t="str">
        <f>VLOOKUP(A39,Building!A:A,1,FALSE)</f>
        <v>1600 E 3RD ST</v>
      </c>
      <c r="D39" t="str">
        <f>VLOOKUP(A39,Sector!A:A,1,FALSE)</f>
        <v>1600 E 3RD ST</v>
      </c>
    </row>
    <row r="40" spans="1:4" hidden="1" x14ac:dyDescent="0.3">
      <c r="A40" t="s">
        <v>305</v>
      </c>
      <c r="B40" t="e">
        <f>VLOOKUP(A40,Enrollment!A:A,1,FALSE)</f>
        <v>#N/A</v>
      </c>
      <c r="C40" t="str">
        <f>VLOOKUP(A40,Building!A:A,1,FALSE)</f>
        <v>1610 E 3RD ST</v>
      </c>
      <c r="D40" t="str">
        <f>VLOOKUP(A40,Sector!A:A,1,FALSE)</f>
        <v>1610 E 3RD ST</v>
      </c>
    </row>
    <row r="41" spans="1:4" hidden="1" x14ac:dyDescent="0.3">
      <c r="A41" t="s">
        <v>306</v>
      </c>
      <c r="B41" t="e">
        <f>VLOOKUP(A41,Enrollment!A:A,1,FALSE)</f>
        <v>#N/A</v>
      </c>
      <c r="C41" t="str">
        <f>VLOOKUP(A41,Building!A:A,1,FALSE)</f>
        <v>1610 E 3RD ST GARAGE</v>
      </c>
      <c r="D41" t="str">
        <f>VLOOKUP(A41,Sector!A:A,1,FALSE)</f>
        <v>1610 E 3RD ST GARAGE</v>
      </c>
    </row>
    <row r="42" spans="1:4" hidden="1" x14ac:dyDescent="0.3">
      <c r="A42" t="s">
        <v>485</v>
      </c>
      <c r="B42" t="e">
        <f>VLOOKUP(A42,Enrollment!A:A,1,FALSE)</f>
        <v>#N/A</v>
      </c>
      <c r="C42" t="str">
        <f>VLOOKUP(A42,Building!A:A,1,FALSE)</f>
        <v>1704 N FEE LN</v>
      </c>
      <c r="D42" t="str">
        <f>VLOOKUP(A42,Sector!A:A,1,FALSE)</f>
        <v>1704 N FEE LN</v>
      </c>
    </row>
    <row r="43" spans="1:4" hidden="1" x14ac:dyDescent="0.3">
      <c r="A43" t="s">
        <v>307</v>
      </c>
      <c r="B43" t="e">
        <f>VLOOKUP(A43,Enrollment!A:A,1,FALSE)</f>
        <v>#N/A</v>
      </c>
      <c r="C43" t="str">
        <f>VLOOKUP(A43,Building!A:A,1,FALSE)</f>
        <v>1708 E 3RD ST</v>
      </c>
      <c r="D43" t="str">
        <f>VLOOKUP(A43,Sector!A:A,1,FALSE)</f>
        <v>1708 E 3RD ST</v>
      </c>
    </row>
    <row r="44" spans="1:4" hidden="1" x14ac:dyDescent="0.3">
      <c r="A44" t="s">
        <v>588</v>
      </c>
      <c r="B44" t="e">
        <f>VLOOKUP(A44,Enrollment!A:A,1,FALSE)</f>
        <v>#N/A</v>
      </c>
      <c r="C44" t="str">
        <f>VLOOKUP(A44,Building!A:A,1,FALSE)</f>
        <v>1708 N FEE LANE</v>
      </c>
      <c r="D44" t="str">
        <f>VLOOKUP(A44,Sector!A:A,1,FALSE)</f>
        <v>1708 N FEE LANE</v>
      </c>
    </row>
    <row r="45" spans="1:4" hidden="1" x14ac:dyDescent="0.3">
      <c r="A45" t="s">
        <v>484</v>
      </c>
      <c r="B45" t="e">
        <f>VLOOKUP(A45,Enrollment!A:A,1,FALSE)</f>
        <v>#N/A</v>
      </c>
      <c r="C45" t="str">
        <f>VLOOKUP(A45,Building!A:A,1,FALSE)</f>
        <v>1800 N FEE LN</v>
      </c>
      <c r="D45" t="str">
        <f>VLOOKUP(A45,Sector!A:A,1,FALSE)</f>
        <v>1800 N FEE LN</v>
      </c>
    </row>
    <row r="46" spans="1:4" hidden="1" x14ac:dyDescent="0.3">
      <c r="A46" t="s">
        <v>311</v>
      </c>
      <c r="B46" t="e">
        <f>VLOOKUP(A46,Enrollment!A:A,1,FALSE)</f>
        <v>#N/A</v>
      </c>
      <c r="C46" t="str">
        <f>VLOOKUP(A46,Building!A:A,1,FALSE)</f>
        <v>1812 E 3RD ST</v>
      </c>
      <c r="D46" t="str">
        <f>VLOOKUP(A46,Sector!A:A,1,FALSE)</f>
        <v>1812 E 3RD ST</v>
      </c>
    </row>
    <row r="47" spans="1:4" hidden="1" x14ac:dyDescent="0.3">
      <c r="A47" t="s">
        <v>291</v>
      </c>
      <c r="B47" t="e">
        <f>VLOOKUP(A47,Enrollment!A:A,1,FALSE)</f>
        <v>#N/A</v>
      </c>
      <c r="C47" t="str">
        <f>VLOOKUP(A47,Building!A:A,1,FALSE)</f>
        <v>1815 E ATWATER AVE</v>
      </c>
      <c r="D47" t="e">
        <f>VLOOKUP(A47,Sector!A:A,1,FALSE)</f>
        <v>#N/A</v>
      </c>
    </row>
    <row r="48" spans="1:4" hidden="1" x14ac:dyDescent="0.3">
      <c r="A48" t="s">
        <v>341</v>
      </c>
      <c r="B48" t="e">
        <f>VLOOKUP(A48,Enrollment!A:A,1,FALSE)</f>
        <v>#N/A</v>
      </c>
      <c r="C48" t="str">
        <f>VLOOKUP(A48,Building!A:A,1,FALSE)</f>
        <v>1901 E 10TH ST</v>
      </c>
      <c r="D48" t="str">
        <f>VLOOKUP(A48,Sector!A:A,1,FALSE)</f>
        <v>1901 E 10TH ST</v>
      </c>
    </row>
    <row r="49" spans="1:4" hidden="1" x14ac:dyDescent="0.3">
      <c r="A49" t="s">
        <v>330</v>
      </c>
      <c r="B49" t="e">
        <f>VLOOKUP(A49,Enrollment!A:A,1,FALSE)</f>
        <v>#N/A</v>
      </c>
      <c r="C49" t="str">
        <f>VLOOKUP(A49,Building!A:A,1,FALSE)</f>
        <v>1902 E 3RD ST</v>
      </c>
      <c r="D49" t="str">
        <f>VLOOKUP(A49,Sector!A:A,1,FALSE)</f>
        <v>1902 E 3RD ST</v>
      </c>
    </row>
    <row r="50" spans="1:4" hidden="1" x14ac:dyDescent="0.3">
      <c r="A50" t="s">
        <v>347</v>
      </c>
      <c r="B50" t="e">
        <f>VLOOKUP(A50,Enrollment!A:A,1,FALSE)</f>
        <v>#N/A</v>
      </c>
      <c r="C50" t="str">
        <f>VLOOKUP(A50,Building!A:A,1,FALSE)</f>
        <v>200 S BRYAN AVE</v>
      </c>
      <c r="D50" t="e">
        <f>VLOOKUP(A50,Sector!A:A,1,FALSE)</f>
        <v>#N/A</v>
      </c>
    </row>
    <row r="51" spans="1:4" hidden="1" x14ac:dyDescent="0.3">
      <c r="A51" t="s">
        <v>346</v>
      </c>
      <c r="B51" t="e">
        <f>VLOOKUP(A51,Enrollment!A:A,1,FALSE)</f>
        <v>#N/A</v>
      </c>
      <c r="C51" t="str">
        <f>VLOOKUP(A51,Building!A:A,1,FALSE)</f>
        <v>2020 E 3RD ST</v>
      </c>
      <c r="D51" t="e">
        <f>VLOOKUP(A51,Sector!A:A,1,FALSE)</f>
        <v>#N/A</v>
      </c>
    </row>
    <row r="52" spans="1:4" hidden="1" x14ac:dyDescent="0.3">
      <c r="A52" t="s">
        <v>332</v>
      </c>
      <c r="B52" t="e">
        <f>VLOOKUP(A52,Enrollment!A:A,1,FALSE)</f>
        <v>#N/A</v>
      </c>
      <c r="C52" t="str">
        <f>VLOOKUP(A52,Building!A:A,1,FALSE)</f>
        <v>2027 E 3RD ST</v>
      </c>
      <c r="D52" t="e">
        <f>VLOOKUP(A52,Sector!A:A,1,FALSE)</f>
        <v>#N/A</v>
      </c>
    </row>
    <row r="53" spans="1:4" hidden="1" x14ac:dyDescent="0.3">
      <c r="A53" t="s">
        <v>334</v>
      </c>
      <c r="B53" t="e">
        <f>VLOOKUP(A53,Enrollment!A:A,1,FALSE)</f>
        <v>#N/A</v>
      </c>
      <c r="C53" t="str">
        <f>VLOOKUP(A53,Building!A:A,1,FALSE)</f>
        <v>2029 E 3RD GARAGE</v>
      </c>
      <c r="D53" t="e">
        <f>VLOOKUP(A53,Sector!A:A,1,FALSE)</f>
        <v>#N/A</v>
      </c>
    </row>
    <row r="54" spans="1:4" hidden="1" x14ac:dyDescent="0.3">
      <c r="A54" t="s">
        <v>333</v>
      </c>
      <c r="B54" t="e">
        <f>VLOOKUP(A54,Enrollment!A:A,1,FALSE)</f>
        <v>#N/A</v>
      </c>
      <c r="C54" t="str">
        <f>VLOOKUP(A54,Building!A:A,1,FALSE)</f>
        <v>2029 E 3RD ST</v>
      </c>
      <c r="D54" t="str">
        <f>VLOOKUP(A54,Sector!A:A,1,FALSE)</f>
        <v>2029 E 3RD ST</v>
      </c>
    </row>
    <row r="55" spans="1:4" hidden="1" x14ac:dyDescent="0.3">
      <c r="A55" t="s">
        <v>336</v>
      </c>
      <c r="B55" t="e">
        <f>VLOOKUP(A55,Enrollment!A:A,1,FALSE)</f>
        <v>#N/A</v>
      </c>
      <c r="C55" t="str">
        <f>VLOOKUP(A55,Building!A:A,1,FALSE)</f>
        <v>2030 E 3RD ST</v>
      </c>
      <c r="D55" t="str">
        <f>VLOOKUP(A55,Sector!A:A,1,FALSE)</f>
        <v>2030 E 3RD ST</v>
      </c>
    </row>
    <row r="56" spans="1:4" hidden="1" x14ac:dyDescent="0.3">
      <c r="A56" t="s">
        <v>335</v>
      </c>
      <c r="B56" t="e">
        <f>VLOOKUP(A56,Enrollment!A:A,1,FALSE)</f>
        <v>#N/A</v>
      </c>
      <c r="C56" t="str">
        <f>VLOOKUP(A56,Building!A:A,1,FALSE)</f>
        <v>2031 E 3RD ST</v>
      </c>
      <c r="D56" t="str">
        <f>VLOOKUP(A56,Sector!A:A,1,FALSE)</f>
        <v>2031 E 3RD ST</v>
      </c>
    </row>
    <row r="57" spans="1:4" hidden="1" x14ac:dyDescent="0.3">
      <c r="A57" t="s">
        <v>349</v>
      </c>
      <c r="B57" t="e">
        <f>VLOOKUP(A57,Enrollment!A:A,1,FALSE)</f>
        <v>#N/A</v>
      </c>
      <c r="C57" t="str">
        <f>VLOOKUP(A57,Building!A:A,1,FALSE)</f>
        <v>204 S BRYAN AVE</v>
      </c>
      <c r="D57" t="e">
        <f>VLOOKUP(A57,Sector!A:A,1,FALSE)</f>
        <v>#N/A</v>
      </c>
    </row>
    <row r="58" spans="1:4" hidden="1" x14ac:dyDescent="0.3">
      <c r="A58" t="s">
        <v>342</v>
      </c>
      <c r="B58" t="e">
        <f>VLOOKUP(A58,Enrollment!A:A,1,FALSE)</f>
        <v>#N/A</v>
      </c>
      <c r="C58" t="str">
        <f>VLOOKUP(A58,Building!A:A,1,FALSE)</f>
        <v>2045 E 7TH ST</v>
      </c>
      <c r="D58" t="str">
        <f>VLOOKUP(A58,Sector!A:A,1,FALSE)</f>
        <v>2045 E 7TH ST</v>
      </c>
    </row>
    <row r="59" spans="1:4" hidden="1" x14ac:dyDescent="0.3">
      <c r="A59" t="s">
        <v>350</v>
      </c>
      <c r="B59" t="e">
        <f>VLOOKUP(A59,Enrollment!A:A,1,FALSE)</f>
        <v>#N/A</v>
      </c>
      <c r="C59" t="str">
        <f>VLOOKUP(A59,Building!A:A,1,FALSE)</f>
        <v>206 S BRYAN AVE</v>
      </c>
      <c r="D59" t="e">
        <f>VLOOKUP(A59,Sector!A:A,1,FALSE)</f>
        <v>#N/A</v>
      </c>
    </row>
    <row r="60" spans="1:4" hidden="1" x14ac:dyDescent="0.3">
      <c r="A60" t="s">
        <v>225</v>
      </c>
      <c r="B60" t="e">
        <f>VLOOKUP(A60,Enrollment!A:A,1,FALSE)</f>
        <v>#N/A</v>
      </c>
      <c r="C60" t="str">
        <f>VLOOKUP(A60,Building!A:A,1,FALSE)</f>
        <v>209 S DUNN ST</v>
      </c>
      <c r="D60" t="str">
        <f>VLOOKUP(A60,Sector!A:A,1,FALSE)</f>
        <v>209 S DUNN ST</v>
      </c>
    </row>
    <row r="61" spans="1:4" hidden="1" x14ac:dyDescent="0.3">
      <c r="A61" t="s">
        <v>327</v>
      </c>
      <c r="B61" t="e">
        <f>VLOOKUP(A61,Enrollment!A:A,1,FALSE)</f>
        <v>#N/A</v>
      </c>
      <c r="C61" t="str">
        <f>VLOOKUP(A61,Building!A:A,1,FALSE)</f>
        <v>209 S UNION ST</v>
      </c>
      <c r="D61" t="str">
        <f>VLOOKUP(A61,Sector!A:A,1,FALSE)</f>
        <v>209 S UNION ST</v>
      </c>
    </row>
    <row r="62" spans="1:4" hidden="1" x14ac:dyDescent="0.3">
      <c r="A62" t="s">
        <v>331</v>
      </c>
      <c r="B62" t="e">
        <f>VLOOKUP(A62,Enrollment!A:A,1,FALSE)</f>
        <v>#N/A</v>
      </c>
      <c r="C62" t="str">
        <f>VLOOKUP(A62,Building!A:A,1,FALSE)</f>
        <v>2101 E 3RD ST</v>
      </c>
      <c r="D62" t="e">
        <f>VLOOKUP(A62,Sector!A:A,1,FALSE)</f>
        <v>#N/A</v>
      </c>
    </row>
    <row r="63" spans="1:4" hidden="1" x14ac:dyDescent="0.3">
      <c r="A63" t="s">
        <v>363</v>
      </c>
      <c r="B63" t="e">
        <f>VLOOKUP(A63,Enrollment!A:A,1,FALSE)</f>
        <v>#N/A</v>
      </c>
      <c r="C63" t="str">
        <f>VLOOKUP(A63,Building!A:A,1,FALSE)</f>
        <v>2105 E 3RD GARAGE</v>
      </c>
      <c r="D63" t="e">
        <f>VLOOKUP(A63,Sector!A:A,1,FALSE)</f>
        <v>#N/A</v>
      </c>
    </row>
    <row r="64" spans="1:4" hidden="1" x14ac:dyDescent="0.3">
      <c r="A64" t="s">
        <v>362</v>
      </c>
      <c r="B64" t="e">
        <f>VLOOKUP(A64,Enrollment!A:A,1,FALSE)</f>
        <v>#N/A</v>
      </c>
      <c r="C64" t="str">
        <f>VLOOKUP(A64,Building!A:A,1,FALSE)</f>
        <v>2105 E 3RD ST</v>
      </c>
      <c r="D64" t="e">
        <f>VLOOKUP(A64,Sector!A:A,1,FALSE)</f>
        <v>#N/A</v>
      </c>
    </row>
    <row r="65" spans="1:4" hidden="1" x14ac:dyDescent="0.3">
      <c r="A65" t="s">
        <v>329</v>
      </c>
      <c r="B65" t="e">
        <f>VLOOKUP(A65,Enrollment!A:A,1,FALSE)</f>
        <v>#N/A</v>
      </c>
      <c r="C65" t="str">
        <f>VLOOKUP(A65,Building!A:A,1,FALSE)</f>
        <v>211 S UNION GARAGE</v>
      </c>
      <c r="D65" t="e">
        <f>VLOOKUP(A65,Sector!A:A,1,FALSE)</f>
        <v>#N/A</v>
      </c>
    </row>
    <row r="66" spans="1:4" hidden="1" x14ac:dyDescent="0.3">
      <c r="A66" t="s">
        <v>328</v>
      </c>
      <c r="B66" t="e">
        <f>VLOOKUP(A66,Enrollment!A:A,1,FALSE)</f>
        <v>#N/A</v>
      </c>
      <c r="C66" t="str">
        <f>VLOOKUP(A66,Building!A:A,1,FALSE)</f>
        <v>211 S UNION ST</v>
      </c>
      <c r="D66" t="str">
        <f>VLOOKUP(A66,Sector!A:A,1,FALSE)</f>
        <v>211 S UNION ST</v>
      </c>
    </row>
    <row r="67" spans="1:4" hidden="1" x14ac:dyDescent="0.3">
      <c r="A67" t="s">
        <v>351</v>
      </c>
      <c r="B67" t="e">
        <f>VLOOKUP(A67,Enrollment!A:A,1,FALSE)</f>
        <v>#N/A</v>
      </c>
      <c r="C67" t="str">
        <f>VLOOKUP(A67,Building!A:A,1,FALSE)</f>
        <v>212 S BRYAN AVE</v>
      </c>
      <c r="D67" t="e">
        <f>VLOOKUP(A67,Sector!A:A,1,FALSE)</f>
        <v>#N/A</v>
      </c>
    </row>
    <row r="68" spans="1:4" hidden="1" x14ac:dyDescent="0.3">
      <c r="A68" t="s">
        <v>192</v>
      </c>
      <c r="B68" t="e">
        <f>VLOOKUP(A68,Enrollment!A:A,1,FALSE)</f>
        <v>#N/A</v>
      </c>
      <c r="C68" t="str">
        <f>VLOOKUP(A68,Building!A:A,1,FALSE)</f>
        <v>214 N DUNN ST</v>
      </c>
      <c r="D68" t="str">
        <f>VLOOKUP(A68,Sector!A:A,1,FALSE)</f>
        <v>214 N DUNN ST</v>
      </c>
    </row>
    <row r="69" spans="1:4" hidden="1" x14ac:dyDescent="0.3">
      <c r="A69" t="s">
        <v>352</v>
      </c>
      <c r="B69" t="e">
        <f>VLOOKUP(A69,Enrollment!A:A,1,FALSE)</f>
        <v>#N/A</v>
      </c>
      <c r="C69" t="str">
        <f>VLOOKUP(A69,Building!A:A,1,FALSE)</f>
        <v>214 S BRYAN AVE</v>
      </c>
      <c r="D69" t="e">
        <f>VLOOKUP(A69,Sector!A:A,1,FALSE)</f>
        <v>#N/A</v>
      </c>
    </row>
    <row r="70" spans="1:4" hidden="1" x14ac:dyDescent="0.3">
      <c r="A70" t="s">
        <v>538</v>
      </c>
      <c r="B70" t="e">
        <f>VLOOKUP(A70,Enrollment!A:A,1,FALSE)</f>
        <v>#N/A</v>
      </c>
      <c r="C70" t="str">
        <f>VLOOKUP(A70,Building!A:A,1,FALSE)</f>
        <v>215 E 2ND ST</v>
      </c>
      <c r="D70" t="e">
        <f>VLOOKUP(A70,Sector!A:A,1,FALSE)</f>
        <v>#N/A</v>
      </c>
    </row>
    <row r="71" spans="1:4" hidden="1" x14ac:dyDescent="0.3">
      <c r="A71" t="s">
        <v>194</v>
      </c>
      <c r="B71" t="e">
        <f>VLOOKUP(A71,Enrollment!A:A,1,FALSE)</f>
        <v>#N/A</v>
      </c>
      <c r="C71" t="str">
        <f>VLOOKUP(A71,Building!A:A,1,FALSE)</f>
        <v>215 N INDIANA AVE</v>
      </c>
      <c r="D71" t="str">
        <f>VLOOKUP(A71,Sector!A:A,1,FALSE)</f>
        <v>215 N INDIANA AVE</v>
      </c>
    </row>
    <row r="72" spans="1:4" hidden="1" x14ac:dyDescent="0.3">
      <c r="A72" t="s">
        <v>543</v>
      </c>
      <c r="B72" t="e">
        <f>VLOOKUP(A72,Enrollment!A:A,1,FALSE)</f>
        <v>#N/A</v>
      </c>
      <c r="C72" t="str">
        <f>VLOOKUP(A72,Building!A:A,1,FALSE)</f>
        <v>2200 N DUNN ST</v>
      </c>
      <c r="D72" t="e">
        <f>VLOOKUP(A72,Sector!A:A,1,FALSE)</f>
        <v>#N/A</v>
      </c>
    </row>
    <row r="73" spans="1:4" hidden="1" x14ac:dyDescent="0.3">
      <c r="A73" t="s">
        <v>515</v>
      </c>
      <c r="B73" t="e">
        <f>VLOOKUP(A73,Enrollment!A:A,1,FALSE)</f>
        <v>#N/A</v>
      </c>
      <c r="C73" t="str">
        <f>VLOOKUP(A73,Building!A:A,1,FALSE)</f>
        <v>2204 N HEADLEY RD</v>
      </c>
      <c r="D73" t="str">
        <f>VLOOKUP(A73,Sector!A:A,1,FALSE)</f>
        <v>2204 N HEADLEY RD</v>
      </c>
    </row>
    <row r="74" spans="1:4" hidden="1" x14ac:dyDescent="0.3">
      <c r="A74" t="s">
        <v>542</v>
      </c>
      <c r="B74" t="e">
        <f>VLOOKUP(A74,Enrollment!A:A,1,FALSE)</f>
        <v>#N/A</v>
      </c>
      <c r="C74" t="str">
        <f>VLOOKUP(A74,Building!A:A,1,FALSE)</f>
        <v>2218 N DUNN ST</v>
      </c>
      <c r="D74" t="e">
        <f>VLOOKUP(A74,Sector!A:A,1,FALSE)</f>
        <v>#N/A</v>
      </c>
    </row>
    <row r="75" spans="1:4" hidden="1" x14ac:dyDescent="0.3">
      <c r="A75" t="s">
        <v>193</v>
      </c>
      <c r="B75" t="e">
        <f>VLOOKUP(A75,Enrollment!A:A,1,FALSE)</f>
        <v>#N/A</v>
      </c>
      <c r="C75" t="str">
        <f>VLOOKUP(A75,Building!A:A,1,FALSE)</f>
        <v>222 N DUNN ST</v>
      </c>
      <c r="D75" t="str">
        <f>VLOOKUP(A75,Sector!A:A,1,FALSE)</f>
        <v>222 N DUNN ST</v>
      </c>
    </row>
    <row r="76" spans="1:4" hidden="1" x14ac:dyDescent="0.3">
      <c r="A76" t="s">
        <v>364</v>
      </c>
      <c r="B76" t="e">
        <f>VLOOKUP(A76,Enrollment!A:A,1,FALSE)</f>
        <v>#N/A</v>
      </c>
      <c r="C76" t="str">
        <f>VLOOKUP(A76,Building!A:A,1,FALSE)</f>
        <v>2427 E 2ND ST</v>
      </c>
      <c r="D76" t="str">
        <f>VLOOKUP(A76,Sector!A:A,1,FALSE)</f>
        <v>2427 E 2ND ST</v>
      </c>
    </row>
    <row r="77" spans="1:4" hidden="1" x14ac:dyDescent="0.3">
      <c r="A77" t="s">
        <v>365</v>
      </c>
      <c r="B77" t="e">
        <f>VLOOKUP(A77,Enrollment!A:A,1,FALSE)</f>
        <v>#N/A</v>
      </c>
      <c r="C77" t="str">
        <f>VLOOKUP(A77,Building!A:A,1,FALSE)</f>
        <v>2431 E 2ND ST</v>
      </c>
      <c r="D77" t="str">
        <f>VLOOKUP(A77,Sector!A:A,1,FALSE)</f>
        <v>2431 E 2ND ST</v>
      </c>
    </row>
    <row r="78" spans="1:4" hidden="1" x14ac:dyDescent="0.3">
      <c r="A78" t="s">
        <v>514</v>
      </c>
      <c r="B78" t="e">
        <f>VLOOKUP(A78,Enrollment!A:A,1,FALSE)</f>
        <v>#N/A</v>
      </c>
      <c r="C78" t="str">
        <f>VLOOKUP(A78,Building!A:A,1,FALSE)</f>
        <v>2610 HEADLEY GARAGE</v>
      </c>
      <c r="D78" t="e">
        <f>VLOOKUP(A78,Sector!A:A,1,FALSE)</f>
        <v>#N/A</v>
      </c>
    </row>
    <row r="79" spans="1:4" hidden="1" x14ac:dyDescent="0.3">
      <c r="A79" t="s">
        <v>513</v>
      </c>
      <c r="B79" t="e">
        <f>VLOOKUP(A79,Enrollment!A:A,1,FALSE)</f>
        <v>#N/A</v>
      </c>
      <c r="C79" t="str">
        <f>VLOOKUP(A79,Building!A:A,1,FALSE)</f>
        <v>2610 N HEADLEY RD</v>
      </c>
      <c r="D79" t="e">
        <f>VLOOKUP(A79,Sector!A:A,1,FALSE)</f>
        <v>#N/A</v>
      </c>
    </row>
    <row r="80" spans="1:4" hidden="1" x14ac:dyDescent="0.3">
      <c r="A80" t="s">
        <v>294</v>
      </c>
      <c r="B80" t="e">
        <f>VLOOKUP(A80,Enrollment!A:A,1,FALSE)</f>
        <v>#N/A</v>
      </c>
      <c r="C80" t="str">
        <f>VLOOKUP(A80,Building!A:A,1,FALSE)</f>
        <v>300 N EAGLESON AVE</v>
      </c>
      <c r="D80" t="str">
        <f>VLOOKUP(A80,Sector!A:A,1,FALSE)</f>
        <v>300 N EAGLESON AVE</v>
      </c>
    </row>
    <row r="81" spans="1:4" hidden="1" x14ac:dyDescent="0.3">
      <c r="A81" t="s">
        <v>345</v>
      </c>
      <c r="B81" t="e">
        <f>VLOOKUP(A81,Enrollment!A:A,1,FALSE)</f>
        <v>#N/A</v>
      </c>
      <c r="C81" t="str">
        <f>VLOOKUP(A81,Building!A:A,1,FALSE)</f>
        <v>306 N UNION ST</v>
      </c>
      <c r="D81" t="str">
        <f>VLOOKUP(A81,Sector!A:A,1,FALSE)</f>
        <v>306 N UNION ST</v>
      </c>
    </row>
    <row r="82" spans="1:4" hidden="1" x14ac:dyDescent="0.3">
      <c r="A82" t="s">
        <v>195</v>
      </c>
      <c r="B82" t="e">
        <f>VLOOKUP(A82,Enrollment!A:A,1,FALSE)</f>
        <v>#N/A</v>
      </c>
      <c r="C82" t="str">
        <f>VLOOKUP(A82,Building!A:A,1,FALSE)</f>
        <v>307-309 N INDIANA AVE</v>
      </c>
      <c r="D82" t="e">
        <f>VLOOKUP(A82,Sector!A:A,1,FALSE)</f>
        <v>#N/A</v>
      </c>
    </row>
    <row r="83" spans="1:4" hidden="1" x14ac:dyDescent="0.3">
      <c r="A83" t="s">
        <v>270</v>
      </c>
      <c r="B83" t="e">
        <f>VLOOKUP(A83,Enrollment!A:A,1,FALSE)</f>
        <v>#N/A</v>
      </c>
      <c r="C83" t="str">
        <f>VLOOKUP(A83,Building!A:A,1,FALSE)</f>
        <v>309 N WOODLAWN AVE</v>
      </c>
      <c r="D83" t="str">
        <f>VLOOKUP(A83,Sector!A:A,1,FALSE)</f>
        <v>309 N WOODLAWN AVE</v>
      </c>
    </row>
    <row r="84" spans="1:4" hidden="1" x14ac:dyDescent="0.3">
      <c r="A84" t="s">
        <v>231</v>
      </c>
      <c r="B84" t="e">
        <f>VLOOKUP(A84,Enrollment!A:A,1,FALSE)</f>
        <v>#N/A</v>
      </c>
      <c r="C84" t="str">
        <f>VLOOKUP(A84,Building!A:A,1,FALSE)</f>
        <v>309-311 N PARK AVE</v>
      </c>
      <c r="D84" t="str">
        <f>VLOOKUP(A84,Sector!A:A,1,FALSE)</f>
        <v>309-311 N PARK AVE</v>
      </c>
    </row>
    <row r="85" spans="1:4" hidden="1" x14ac:dyDescent="0.3">
      <c r="A85" t="s">
        <v>273</v>
      </c>
      <c r="B85" t="e">
        <f>VLOOKUP(A85,Enrollment!A:A,1,FALSE)</f>
        <v>#N/A</v>
      </c>
      <c r="C85" t="str">
        <f>VLOOKUP(A85,Building!A:A,1,FALSE)</f>
        <v>310-312 N PARK AVE</v>
      </c>
      <c r="D85" t="str">
        <f>VLOOKUP(A85,Sector!A:A,1,FALSE)</f>
        <v>310-312 N PARK AVE</v>
      </c>
    </row>
    <row r="86" spans="1:4" hidden="1" x14ac:dyDescent="0.3">
      <c r="A86" t="s">
        <v>216</v>
      </c>
      <c r="B86" t="e">
        <f>VLOOKUP(A86,Enrollment!A:A,1,FALSE)</f>
        <v>#N/A</v>
      </c>
      <c r="C86" t="str">
        <f>VLOOKUP(A86,Building!A:A,1,FALSE)</f>
        <v>314 DUNN ST</v>
      </c>
      <c r="D86" t="e">
        <f>VLOOKUP(A86,Sector!A:A,1,FALSE)</f>
        <v>#N/A</v>
      </c>
    </row>
    <row r="87" spans="1:4" hidden="1" x14ac:dyDescent="0.3">
      <c r="A87" t="s">
        <v>228</v>
      </c>
      <c r="B87" t="e">
        <f>VLOOKUP(A87,Enrollment!A:A,1,FALSE)</f>
        <v>#N/A</v>
      </c>
      <c r="C87" t="str">
        <f>VLOOKUP(A87,Building!A:A,1,FALSE)</f>
        <v>314 S HENDERSON ST</v>
      </c>
      <c r="D87" t="str">
        <f>VLOOKUP(A87,Sector!A:A,1,FALSE)</f>
        <v>314 S HENDERSON ST</v>
      </c>
    </row>
    <row r="88" spans="1:4" hidden="1" x14ac:dyDescent="0.3">
      <c r="A88" t="s">
        <v>300</v>
      </c>
      <c r="B88" t="e">
        <f>VLOOKUP(A88,Enrollment!A:A,1,FALSE)</f>
        <v>#N/A</v>
      </c>
      <c r="C88" t="str">
        <f>VLOOKUP(A88,Building!A:A,1,FALSE)</f>
        <v>315 S MITCHELL ST</v>
      </c>
      <c r="D88" t="str">
        <f>VLOOKUP(A88,Sector!A:A,1,FALSE)</f>
        <v>315 S MITCHELL ST</v>
      </c>
    </row>
    <row r="89" spans="1:4" hidden="1" x14ac:dyDescent="0.3">
      <c r="A89" t="s">
        <v>293</v>
      </c>
      <c r="B89" t="e">
        <f>VLOOKUP(A89,Enrollment!A:A,1,FALSE)</f>
        <v>#N/A</v>
      </c>
      <c r="C89" t="str">
        <f>VLOOKUP(A89,Building!A:A,1,FALSE)</f>
        <v>316 N EAGLESON AVE</v>
      </c>
      <c r="D89" t="str">
        <f>VLOOKUP(A89,Sector!A:A,1,FALSE)</f>
        <v>316 N EAGLESON AVE</v>
      </c>
    </row>
    <row r="90" spans="1:4" hidden="1" x14ac:dyDescent="0.3">
      <c r="A90" t="s">
        <v>344</v>
      </c>
      <c r="B90" t="e">
        <f>VLOOKUP(A90,Enrollment!A:A,1,FALSE)</f>
        <v>#N/A</v>
      </c>
      <c r="C90" t="str">
        <f>VLOOKUP(A90,Building!A:A,1,FALSE)</f>
        <v>318 N UNION GARAGE</v>
      </c>
      <c r="D90" t="str">
        <f>VLOOKUP(A90,Sector!A:A,1,FALSE)</f>
        <v>318 N UNION GARAGE</v>
      </c>
    </row>
    <row r="91" spans="1:4" hidden="1" x14ac:dyDescent="0.3">
      <c r="A91" t="s">
        <v>343</v>
      </c>
      <c r="B91" t="e">
        <f>VLOOKUP(A91,Enrollment!A:A,1,FALSE)</f>
        <v>#N/A</v>
      </c>
      <c r="C91" t="str">
        <f>VLOOKUP(A91,Building!A:A,1,FALSE)</f>
        <v>318 N UNION ST</v>
      </c>
      <c r="D91" t="str">
        <f>VLOOKUP(A91,Sector!A:A,1,FALSE)</f>
        <v>318 N UNION ST</v>
      </c>
    </row>
    <row r="92" spans="1:4" hidden="1" x14ac:dyDescent="0.3">
      <c r="A92" t="s">
        <v>301</v>
      </c>
      <c r="B92" t="e">
        <f>VLOOKUP(A92,Enrollment!A:A,1,FALSE)</f>
        <v>#N/A</v>
      </c>
      <c r="C92" t="str">
        <f>VLOOKUP(A92,Building!A:A,1,FALSE)</f>
        <v>319 S MITCHELL ST</v>
      </c>
      <c r="D92" t="str">
        <f>VLOOKUP(A92,Sector!A:A,1,FALSE)</f>
        <v>319 S MITCHELL ST</v>
      </c>
    </row>
    <row r="93" spans="1:4" hidden="1" x14ac:dyDescent="0.3">
      <c r="A93" t="s">
        <v>627</v>
      </c>
      <c r="B93" t="e">
        <f>VLOOKUP(A93,Enrollment!A:A,1,FALSE)</f>
        <v>#N/A</v>
      </c>
      <c r="C93" t="str">
        <f>VLOOKUP(A93,Building!A:A,1,FALSE)</f>
        <v>320 S EASTSIDE DR</v>
      </c>
      <c r="D93" t="e">
        <f>VLOOKUP(A93,Sector!A:A,1,FALSE)</f>
        <v>#N/A</v>
      </c>
    </row>
    <row r="94" spans="1:4" hidden="1" x14ac:dyDescent="0.3">
      <c r="A94" t="s">
        <v>391</v>
      </c>
      <c r="B94" t="e">
        <f>VLOOKUP(A94,Enrollment!A:A,1,FALSE)</f>
        <v>#N/A</v>
      </c>
      <c r="C94" t="str">
        <f>VLOOKUP(A94,Building!A:A,1,FALSE)</f>
        <v>321 N WOODLAWN AVE</v>
      </c>
      <c r="D94" t="str">
        <f>VLOOKUP(A94,Sector!A:A,1,FALSE)</f>
        <v>321 N WOODLAWN AVE</v>
      </c>
    </row>
    <row r="95" spans="1:4" hidden="1" x14ac:dyDescent="0.3">
      <c r="A95" t="s">
        <v>224</v>
      </c>
      <c r="B95" t="e">
        <f>VLOOKUP(A95,Enrollment!A:A,1,FALSE)</f>
        <v>#N/A</v>
      </c>
      <c r="C95" t="str">
        <f>VLOOKUP(A95,Building!A:A,1,FALSE)</f>
        <v>324 S HENDERSON ST</v>
      </c>
      <c r="D95" t="str">
        <f>VLOOKUP(A95,Sector!A:A,1,FALSE)</f>
        <v>324 S HENDERSON ST</v>
      </c>
    </row>
    <row r="96" spans="1:4" hidden="1" x14ac:dyDescent="0.3">
      <c r="A96" t="s">
        <v>309</v>
      </c>
      <c r="B96" t="e">
        <f>VLOOKUP(A96,Enrollment!A:A,1,FALSE)</f>
        <v>#N/A</v>
      </c>
      <c r="C96" t="str">
        <f>VLOOKUP(A96,Building!A:A,1,FALSE)</f>
        <v>325 S ARBUTUS DR</v>
      </c>
      <c r="D96" t="e">
        <f>VLOOKUP(A96,Sector!A:A,1,FALSE)</f>
        <v>#N/A</v>
      </c>
    </row>
    <row r="97" spans="1:4" hidden="1" x14ac:dyDescent="0.3">
      <c r="A97" t="s">
        <v>299</v>
      </c>
      <c r="B97" t="e">
        <f>VLOOKUP(A97,Enrollment!A:A,1,FALSE)</f>
        <v>#N/A</v>
      </c>
      <c r="C97" t="str">
        <f>VLOOKUP(A97,Building!A:A,1,FALSE)</f>
        <v>330 S EASTSIDE DR</v>
      </c>
      <c r="D97" t="str">
        <f>VLOOKUP(A97,Sector!A:A,1,FALSE)</f>
        <v>330 S EASTSIDE DR</v>
      </c>
    </row>
    <row r="98" spans="1:4" hidden="1" x14ac:dyDescent="0.3">
      <c r="A98" t="s">
        <v>337</v>
      </c>
      <c r="B98" t="e">
        <f>VLOOKUP(A98,Enrollment!A:A,1,FALSE)</f>
        <v>#N/A</v>
      </c>
      <c r="C98" t="str">
        <f>VLOOKUP(A98,Building!A:A,1,FALSE)</f>
        <v>3RD &amp; UNION APARTMENTS</v>
      </c>
      <c r="D98" t="str">
        <f>VLOOKUP(A98,Sector!A:A,1,FALSE)</f>
        <v>3RD &amp; UNION APARTMENTS</v>
      </c>
    </row>
    <row r="99" spans="1:4" hidden="1" x14ac:dyDescent="0.3">
      <c r="A99" t="s">
        <v>308</v>
      </c>
      <c r="B99" t="e">
        <f>VLOOKUP(A99,Enrollment!A:A,1,FALSE)</f>
        <v>#N/A</v>
      </c>
      <c r="C99" t="str">
        <f>VLOOKUP(A99,Building!A:A,1,FALSE)</f>
        <v>401 S EASTSIDE DR</v>
      </c>
      <c r="D99" t="e">
        <f>VLOOKUP(A99,Sector!A:A,1,FALSE)</f>
        <v>#N/A</v>
      </c>
    </row>
    <row r="100" spans="1:4" hidden="1" x14ac:dyDescent="0.3">
      <c r="A100" t="s">
        <v>234</v>
      </c>
      <c r="B100" t="e">
        <f>VLOOKUP(A100,Enrollment!A:A,1,FALSE)</f>
        <v>#N/A</v>
      </c>
      <c r="C100" t="str">
        <f>VLOOKUP(A100,Building!A:A,1,FALSE)</f>
        <v>405-407 N PARK AVE</v>
      </c>
      <c r="D100" t="str">
        <f>VLOOKUP(A100,Sector!A:A,1,FALSE)</f>
        <v>405-407 N PARK AVE</v>
      </c>
    </row>
    <row r="101" spans="1:4" hidden="1" x14ac:dyDescent="0.3">
      <c r="A101" t="s">
        <v>202</v>
      </c>
      <c r="B101" t="e">
        <f>VLOOKUP(A101,Enrollment!A:A,1,FALSE)</f>
        <v>#N/A</v>
      </c>
      <c r="C101" t="str">
        <f>VLOOKUP(A101,Building!A:A,1,FALSE)</f>
        <v>406 N FESS AVE</v>
      </c>
      <c r="D101" t="str">
        <f>VLOOKUP(A101,Sector!A:A,1,FALSE)</f>
        <v>406 N FESS AVE</v>
      </c>
    </row>
    <row r="102" spans="1:4" hidden="1" x14ac:dyDescent="0.3">
      <c r="A102" t="s">
        <v>203</v>
      </c>
      <c r="B102" t="e">
        <f>VLOOKUP(A102,Enrollment!A:A,1,FALSE)</f>
        <v>#N/A</v>
      </c>
      <c r="C102" t="str">
        <f>VLOOKUP(A102,Building!A:A,1,FALSE)</f>
        <v>406 N FESS GARAGE</v>
      </c>
      <c r="D102" t="str">
        <f>VLOOKUP(A102,Sector!A:A,1,FALSE)</f>
        <v>406 N FESS GARAGE</v>
      </c>
    </row>
    <row r="103" spans="1:4" hidden="1" x14ac:dyDescent="0.3">
      <c r="A103" t="s">
        <v>197</v>
      </c>
      <c r="B103" t="e">
        <f>VLOOKUP(A103,Enrollment!A:A,1,FALSE)</f>
        <v>#N/A</v>
      </c>
      <c r="C103" t="str">
        <f>VLOOKUP(A103,Building!A:A,1,FALSE)</f>
        <v>409 N INDIANA AVE</v>
      </c>
      <c r="D103" t="e">
        <f>VLOOKUP(A103,Sector!A:A,1,FALSE)</f>
        <v>#N/A</v>
      </c>
    </row>
    <row r="104" spans="1:4" hidden="1" x14ac:dyDescent="0.3">
      <c r="A104" t="s">
        <v>235</v>
      </c>
      <c r="B104" t="e">
        <f>VLOOKUP(A104,Enrollment!A:A,1,FALSE)</f>
        <v>#N/A</v>
      </c>
      <c r="C104" t="str">
        <f>VLOOKUP(A104,Building!A:A,1,FALSE)</f>
        <v>409 N PARK AVE</v>
      </c>
      <c r="D104" t="str">
        <f>VLOOKUP(A104,Sector!A:A,1,FALSE)</f>
        <v>409 N PARK AVE</v>
      </c>
    </row>
    <row r="105" spans="1:4" hidden="1" x14ac:dyDescent="0.3">
      <c r="A105" t="s">
        <v>537</v>
      </c>
      <c r="B105" t="e">
        <f>VLOOKUP(A105,Enrollment!A:A,1,FALSE)</f>
        <v>#N/A</v>
      </c>
      <c r="C105" t="str">
        <f>VLOOKUP(A105,Building!A:A,1,FALSE)</f>
        <v>411 S LINCOLN ST</v>
      </c>
      <c r="D105" t="str">
        <f>VLOOKUP(A105,Sector!A:A,1,FALSE)</f>
        <v>411 S LINCOLN ST</v>
      </c>
    </row>
    <row r="106" spans="1:4" hidden="1" x14ac:dyDescent="0.3">
      <c r="A106" t="s">
        <v>243</v>
      </c>
      <c r="B106" t="e">
        <f>VLOOKUP(A106,Enrollment!A:A,1,FALSE)</f>
        <v>#N/A</v>
      </c>
      <c r="C106" t="str">
        <f>VLOOKUP(A106,Building!A:A,1,FALSE)</f>
        <v>417 N INDIANA AVE</v>
      </c>
      <c r="D106" t="str">
        <f>VLOOKUP(A106,Sector!A:A,1,FALSE)</f>
        <v>417 N INDIANA AVE</v>
      </c>
    </row>
    <row r="107" spans="1:4" hidden="1" x14ac:dyDescent="0.3">
      <c r="A107" t="s">
        <v>244</v>
      </c>
      <c r="B107" t="e">
        <f>VLOOKUP(A107,Enrollment!A:A,1,FALSE)</f>
        <v>#N/A</v>
      </c>
      <c r="C107" t="str">
        <f>VLOOKUP(A107,Building!A:A,1,FALSE)</f>
        <v>417 N INDIANA GARAGE</v>
      </c>
      <c r="D107" t="e">
        <f>VLOOKUP(A107,Sector!A:A,1,FALSE)</f>
        <v>#N/A</v>
      </c>
    </row>
    <row r="108" spans="1:4" hidden="1" x14ac:dyDescent="0.3">
      <c r="A108" t="s">
        <v>199</v>
      </c>
      <c r="B108" t="e">
        <f>VLOOKUP(A108,Enrollment!A:A,1,FALSE)</f>
        <v>#N/A</v>
      </c>
      <c r="C108" t="str">
        <f>VLOOKUP(A108,Building!A:A,1,FALSE)</f>
        <v>419 N INDIANA AVE</v>
      </c>
      <c r="D108" t="str">
        <f>VLOOKUP(A108,Sector!A:A,1,FALSE)</f>
        <v>419 N INDIANA AVE</v>
      </c>
    </row>
    <row r="109" spans="1:4" hidden="1" x14ac:dyDescent="0.3">
      <c r="A109" t="s">
        <v>541</v>
      </c>
      <c r="B109" t="e">
        <f>VLOOKUP(A109,Enrollment!A:A,1,FALSE)</f>
        <v>#N/A</v>
      </c>
      <c r="C109" t="str">
        <f>VLOOKUP(A109,Building!A:A,1,FALSE)</f>
        <v>420 N WALNUT ST</v>
      </c>
      <c r="D109" t="str">
        <f>VLOOKUP(A109,Sector!A:A,1,FALSE)</f>
        <v>420 N WALNUT ST</v>
      </c>
    </row>
    <row r="110" spans="1:4" hidden="1" x14ac:dyDescent="0.3">
      <c r="A110" t="s">
        <v>271</v>
      </c>
      <c r="B110" t="e">
        <f>VLOOKUP(A110,Enrollment!A:A,1,FALSE)</f>
        <v>#N/A</v>
      </c>
      <c r="C110" t="str">
        <f>VLOOKUP(A110,Building!A:A,1,FALSE)</f>
        <v>421 N PARK AVE</v>
      </c>
      <c r="D110" t="e">
        <f>VLOOKUP(A110,Sector!A:A,1,FALSE)</f>
        <v>#N/A</v>
      </c>
    </row>
    <row r="111" spans="1:4" hidden="1" x14ac:dyDescent="0.3">
      <c r="A111" t="s">
        <v>536</v>
      </c>
      <c r="B111" t="e">
        <f>VLOOKUP(A111,Enrollment!A:A,1,FALSE)</f>
        <v>#N/A</v>
      </c>
      <c r="C111" t="str">
        <f>VLOOKUP(A111,Building!A:A,1,FALSE)</f>
        <v>422 S GRANT GARAGE</v>
      </c>
      <c r="D111" t="str">
        <f>VLOOKUP(A111,Sector!A:A,1,FALSE)</f>
        <v>422 S GRANT GARAGE</v>
      </c>
    </row>
    <row r="112" spans="1:4" hidden="1" x14ac:dyDescent="0.3">
      <c r="A112" t="s">
        <v>535</v>
      </c>
      <c r="B112" t="e">
        <f>VLOOKUP(A112,Enrollment!A:A,1,FALSE)</f>
        <v>#N/A</v>
      </c>
      <c r="C112" t="str">
        <f>VLOOKUP(A112,Building!A:A,1,FALSE)</f>
        <v>422 S GRANT ST</v>
      </c>
      <c r="D112" t="str">
        <f>VLOOKUP(A112,Sector!A:A,1,FALSE)</f>
        <v>422 S GRANT ST</v>
      </c>
    </row>
    <row r="113" spans="1:4" hidden="1" x14ac:dyDescent="0.3">
      <c r="A113" t="s">
        <v>41</v>
      </c>
      <c r="B113" t="str">
        <f>VLOOKUP(A113,Enrollment!A:A,1,FALSE)</f>
        <v>4TH &amp; INDIANA-LEWIS BLDG</v>
      </c>
      <c r="C113" t="str">
        <f>VLOOKUP(A113,Building!A:A,1,FALSE)</f>
        <v>4TH &amp; INDIANA-LEWIS BLDG</v>
      </c>
      <c r="D113" t="str">
        <f>VLOOKUP(A113,Sector!A:A,1,FALSE)</f>
        <v>4TH &amp; INDIANA-LEWIS BLDG</v>
      </c>
    </row>
    <row r="114" spans="1:4" hidden="1" x14ac:dyDescent="0.3">
      <c r="A114" t="s">
        <v>619</v>
      </c>
      <c r="B114" t="e">
        <f>VLOOKUP(A114,Enrollment!A:A,1,FALSE)</f>
        <v>#N/A</v>
      </c>
      <c r="C114" t="str">
        <f>VLOOKUP(A114,Building!A:A,1,FALSE)</f>
        <v>5001 N STATE ROAD 37</v>
      </c>
      <c r="D114" t="e">
        <f>VLOOKUP(A114,Sector!A:A,1,FALSE)</f>
        <v>#N/A</v>
      </c>
    </row>
    <row r="115" spans="1:4" hidden="1" x14ac:dyDescent="0.3">
      <c r="A115" t="s">
        <v>240</v>
      </c>
      <c r="B115" t="e">
        <f>VLOOKUP(A115,Enrollment!A:A,1,FALSE)</f>
        <v>#N/A</v>
      </c>
      <c r="C115" t="str">
        <f>VLOOKUP(A115,Building!A:A,1,FALSE)</f>
        <v>501 N PARK AVE</v>
      </c>
      <c r="D115" t="str">
        <f>VLOOKUP(A115,Sector!A:A,1,FALSE)</f>
        <v>501 N PARK AVE</v>
      </c>
    </row>
    <row r="116" spans="1:4" hidden="1" x14ac:dyDescent="0.3">
      <c r="A116" t="s">
        <v>186</v>
      </c>
      <c r="B116" t="e">
        <f>VLOOKUP(A116,Enrollment!A:A,1,FALSE)</f>
        <v>#N/A</v>
      </c>
      <c r="C116" t="str">
        <f>VLOOKUP(A116,Building!A:A,1,FALSE)</f>
        <v>502 E 4TH ST</v>
      </c>
      <c r="D116" t="str">
        <f>VLOOKUP(A116,Sector!A:A,1,FALSE)</f>
        <v>502 E 4TH ST</v>
      </c>
    </row>
    <row r="117" spans="1:4" hidden="1" x14ac:dyDescent="0.3">
      <c r="A117" t="s">
        <v>198</v>
      </c>
      <c r="B117" t="e">
        <f>VLOOKUP(A117,Enrollment!A:A,1,FALSE)</f>
        <v>#N/A</v>
      </c>
      <c r="C117" t="str">
        <f>VLOOKUP(A117,Building!A:A,1,FALSE)</f>
        <v>502 E 9TH ST</v>
      </c>
      <c r="D117" t="str">
        <f>VLOOKUP(A117,Sector!A:A,1,FALSE)</f>
        <v>502 E 9TH ST</v>
      </c>
    </row>
    <row r="118" spans="1:4" hidden="1" x14ac:dyDescent="0.3">
      <c r="A118" t="s">
        <v>269</v>
      </c>
      <c r="B118" t="e">
        <f>VLOOKUP(A118,Enrollment!A:A,1,FALSE)</f>
        <v>#N/A</v>
      </c>
      <c r="C118" t="str">
        <f>VLOOKUP(A118,Building!A:A,1,FALSE)</f>
        <v>502 N FESS AVE</v>
      </c>
      <c r="D118" t="e">
        <f>VLOOKUP(A118,Sector!A:A,1,FALSE)</f>
        <v>#N/A</v>
      </c>
    </row>
    <row r="119" spans="1:4" hidden="1" x14ac:dyDescent="0.3">
      <c r="A119" t="s">
        <v>258</v>
      </c>
      <c r="B119" t="e">
        <f>VLOOKUP(A119,Enrollment!A:A,1,FALSE)</f>
        <v>#N/A</v>
      </c>
      <c r="C119" t="str">
        <f>VLOOKUP(A119,Building!A:A,1,FALSE)</f>
        <v>502 N INDIANA AVE</v>
      </c>
      <c r="D119" t="str">
        <f>VLOOKUP(A119,Sector!A:A,1,FALSE)</f>
        <v>502 N INDIANA AVE</v>
      </c>
    </row>
    <row r="120" spans="1:4" hidden="1" x14ac:dyDescent="0.3">
      <c r="A120" t="s">
        <v>252</v>
      </c>
      <c r="B120" t="e">
        <f>VLOOKUP(A120,Enrollment!A:A,1,FALSE)</f>
        <v>#N/A</v>
      </c>
      <c r="C120" t="str">
        <f>VLOOKUP(A120,Building!A:A,1,FALSE)</f>
        <v>504 N FESS AVE</v>
      </c>
      <c r="D120" t="e">
        <f>VLOOKUP(A120,Sector!A:A,1,FALSE)</f>
        <v>#N/A</v>
      </c>
    </row>
    <row r="121" spans="1:4" hidden="1" x14ac:dyDescent="0.3">
      <c r="A121" t="s">
        <v>255</v>
      </c>
      <c r="B121" t="e">
        <f>VLOOKUP(A121,Enrollment!A:A,1,FALSE)</f>
        <v>#N/A</v>
      </c>
      <c r="C121" t="str">
        <f>VLOOKUP(A121,Building!A:A,1,FALSE)</f>
        <v>505 N PARK AVE</v>
      </c>
      <c r="D121" t="e">
        <f>VLOOKUP(A121,Sector!A:A,1,FALSE)</f>
        <v>#N/A</v>
      </c>
    </row>
    <row r="122" spans="1:4" hidden="1" x14ac:dyDescent="0.3">
      <c r="A122" t="s">
        <v>260</v>
      </c>
      <c r="B122" t="e">
        <f>VLOOKUP(A122,Enrollment!A:A,1,FALSE)</f>
        <v>#N/A</v>
      </c>
      <c r="C122" t="str">
        <f>VLOOKUP(A122,Building!A:A,1,FALSE)</f>
        <v>506 N INDIANA AVE</v>
      </c>
      <c r="D122" t="str">
        <f>VLOOKUP(A122,Sector!A:A,1,FALSE)</f>
        <v>506 N INDIANA AVE</v>
      </c>
    </row>
    <row r="123" spans="1:4" hidden="1" x14ac:dyDescent="0.3">
      <c r="A123" t="s">
        <v>249</v>
      </c>
      <c r="B123" t="e">
        <f>VLOOKUP(A123,Enrollment!A:A,1,FALSE)</f>
        <v>#N/A</v>
      </c>
      <c r="C123" t="str">
        <f>VLOOKUP(A123,Building!A:A,1,FALSE)</f>
        <v>506-508 N FESS AVE</v>
      </c>
      <c r="D123" t="str">
        <f>VLOOKUP(A123,Sector!A:A,1,FALSE)</f>
        <v>506-508 N FESS AVE</v>
      </c>
    </row>
    <row r="124" spans="1:4" hidden="1" x14ac:dyDescent="0.3">
      <c r="A124" t="s">
        <v>217</v>
      </c>
      <c r="B124" t="e">
        <f>VLOOKUP(A124,Enrollment!A:A,1,FALSE)</f>
        <v>#N/A</v>
      </c>
      <c r="C124" t="str">
        <f>VLOOKUP(A124,Building!A:A,1,FALSE)</f>
        <v>507-509 E 7TH ST</v>
      </c>
      <c r="D124" t="e">
        <f>VLOOKUP(A124,Sector!A:A,1,FALSE)</f>
        <v>#N/A</v>
      </c>
    </row>
    <row r="125" spans="1:4" hidden="1" x14ac:dyDescent="0.3">
      <c r="A125" t="s">
        <v>229</v>
      </c>
      <c r="B125" t="e">
        <f>VLOOKUP(A125,Enrollment!A:A,1,FALSE)</f>
        <v>#N/A</v>
      </c>
      <c r="C125" t="str">
        <f>VLOOKUP(A125,Building!A:A,1,FALSE)</f>
        <v>508 E 3RD ST</v>
      </c>
      <c r="D125" t="str">
        <f>VLOOKUP(A125,Sector!A:A,1,FALSE)</f>
        <v>508 E 3RD ST</v>
      </c>
    </row>
    <row r="126" spans="1:4" hidden="1" x14ac:dyDescent="0.3">
      <c r="A126" t="s">
        <v>227</v>
      </c>
      <c r="B126" t="e">
        <f>VLOOKUP(A126,Enrollment!A:A,1,FALSE)</f>
        <v>#N/A</v>
      </c>
      <c r="C126" t="str">
        <f>VLOOKUP(A126,Building!A:A,1,FALSE)</f>
        <v>509 E 3RD ST</v>
      </c>
      <c r="D126" t="str">
        <f>VLOOKUP(A126,Sector!A:A,1,FALSE)</f>
        <v>509 E 3RD ST</v>
      </c>
    </row>
    <row r="127" spans="1:4" hidden="1" x14ac:dyDescent="0.3">
      <c r="A127" t="s">
        <v>250</v>
      </c>
      <c r="B127" t="e">
        <f>VLOOKUP(A127,Enrollment!A:A,1,FALSE)</f>
        <v>#N/A</v>
      </c>
      <c r="C127" t="str">
        <f>VLOOKUP(A127,Building!A:A,1,FALSE)</f>
        <v>509 N FESS AVE</v>
      </c>
      <c r="D127" t="e">
        <f>VLOOKUP(A127,Sector!A:A,1,FALSE)</f>
        <v>#N/A</v>
      </c>
    </row>
    <row r="128" spans="1:4" hidden="1" x14ac:dyDescent="0.3">
      <c r="A128" t="s">
        <v>251</v>
      </c>
      <c r="B128" t="e">
        <f>VLOOKUP(A128,Enrollment!A:A,1,FALSE)</f>
        <v>#N/A</v>
      </c>
      <c r="C128" t="str">
        <f>VLOOKUP(A128,Building!A:A,1,FALSE)</f>
        <v>509 N FESS GARAGE</v>
      </c>
      <c r="D128" t="e">
        <f>VLOOKUP(A128,Sector!A:A,1,FALSE)</f>
        <v>#N/A</v>
      </c>
    </row>
    <row r="129" spans="1:4" hidden="1" x14ac:dyDescent="0.3">
      <c r="A129" t="s">
        <v>614</v>
      </c>
      <c r="B129" t="e">
        <f>VLOOKUP(A129,Enrollment!A:A,1,FALSE)</f>
        <v>#N/A</v>
      </c>
      <c r="C129" t="str">
        <f>VLOOKUP(A129,Building!A:A,1,FALSE)</f>
        <v>510-512 N FESS AVE</v>
      </c>
      <c r="D129" t="e">
        <f>VLOOKUP(A129,Sector!A:A,1,FALSE)</f>
        <v>#N/A</v>
      </c>
    </row>
    <row r="130" spans="1:4" hidden="1" x14ac:dyDescent="0.3">
      <c r="A130" t="s">
        <v>599</v>
      </c>
      <c r="B130" t="e">
        <f>VLOOKUP(A130,Enrollment!A:A,1,FALSE)</f>
        <v>#N/A</v>
      </c>
      <c r="C130" t="str">
        <f>VLOOKUP(A130,Building!A:A,1,FALSE)</f>
        <v>513 N PARK AVE</v>
      </c>
      <c r="D130" t="str">
        <f>VLOOKUP(A130,Sector!A:A,1,FALSE)</f>
        <v>513 N PARK AVE</v>
      </c>
    </row>
    <row r="131" spans="1:4" hidden="1" x14ac:dyDescent="0.3">
      <c r="A131" t="s">
        <v>226</v>
      </c>
      <c r="B131" t="e">
        <f>VLOOKUP(A131,Enrollment!A:A,1,FALSE)</f>
        <v>#N/A</v>
      </c>
      <c r="C131" t="str">
        <f>VLOOKUP(A131,Building!A:A,1,FALSE)</f>
        <v>514 E 3RD ST</v>
      </c>
      <c r="D131" t="e">
        <f>VLOOKUP(A131,Sector!A:A,1,FALSE)</f>
        <v>#N/A</v>
      </c>
    </row>
    <row r="132" spans="1:4" hidden="1" x14ac:dyDescent="0.3">
      <c r="A132" t="s">
        <v>242</v>
      </c>
      <c r="B132" t="e">
        <f>VLOOKUP(A132,Enrollment!A:A,1,FALSE)</f>
        <v>#N/A</v>
      </c>
      <c r="C132" t="str">
        <f>VLOOKUP(A132,Building!A:A,1,FALSE)</f>
        <v>515 N PARK AVE</v>
      </c>
      <c r="D132" t="str">
        <f>VLOOKUP(A132,Sector!A:A,1,FALSE)</f>
        <v>515 N PARK AVE</v>
      </c>
    </row>
    <row r="133" spans="1:4" hidden="1" x14ac:dyDescent="0.3">
      <c r="A133" t="s">
        <v>257</v>
      </c>
      <c r="B133" t="e">
        <f>VLOOKUP(A133,Enrollment!A:A,1,FALSE)</f>
        <v>#N/A</v>
      </c>
      <c r="C133" t="str">
        <f>VLOOKUP(A133,Building!A:A,1,FALSE)</f>
        <v>516 N FESS AVE</v>
      </c>
      <c r="D133" t="e">
        <f>VLOOKUP(A133,Sector!A:A,1,FALSE)</f>
        <v>#N/A</v>
      </c>
    </row>
    <row r="134" spans="1:4" hidden="1" x14ac:dyDescent="0.3">
      <c r="A134" t="s">
        <v>246</v>
      </c>
      <c r="B134" t="e">
        <f>VLOOKUP(A134,Enrollment!A:A,1,FALSE)</f>
        <v>#N/A</v>
      </c>
      <c r="C134" t="str">
        <f>VLOOKUP(A134,Building!A:A,1,FALSE)</f>
        <v>516 N INDIANA AVE</v>
      </c>
      <c r="D134" t="str">
        <f>VLOOKUP(A134,Sector!A:A,1,FALSE)</f>
        <v>516 N INDIANA AVE</v>
      </c>
    </row>
    <row r="135" spans="1:4" hidden="1" x14ac:dyDescent="0.3">
      <c r="A135" t="s">
        <v>218</v>
      </c>
      <c r="B135" t="e">
        <f>VLOOKUP(A135,Enrollment!A:A,1,FALSE)</f>
        <v>#N/A</v>
      </c>
      <c r="C135" t="str">
        <f>VLOOKUP(A135,Building!A:A,1,FALSE)</f>
        <v>518 E 7TH ST</v>
      </c>
      <c r="D135" t="str">
        <f>VLOOKUP(A135,Sector!A:A,1,FALSE)</f>
        <v>518 E 7TH ST</v>
      </c>
    </row>
    <row r="136" spans="1:4" hidden="1" x14ac:dyDescent="0.3">
      <c r="A136" t="s">
        <v>259</v>
      </c>
      <c r="B136" t="e">
        <f>VLOOKUP(A136,Enrollment!A:A,1,FALSE)</f>
        <v>#N/A</v>
      </c>
      <c r="C136" t="str">
        <f>VLOOKUP(A136,Building!A:A,1,FALSE)</f>
        <v>519 N FESS</v>
      </c>
      <c r="D136" t="e">
        <f>VLOOKUP(A136,Sector!A:A,1,FALSE)</f>
        <v>#N/A</v>
      </c>
    </row>
    <row r="137" spans="1:4" hidden="1" x14ac:dyDescent="0.3">
      <c r="A137" t="s">
        <v>253</v>
      </c>
      <c r="B137" t="e">
        <f>VLOOKUP(A137,Enrollment!A:A,1,FALSE)</f>
        <v>#N/A</v>
      </c>
      <c r="C137" t="str">
        <f>VLOOKUP(A137,Building!A:A,1,FALSE)</f>
        <v>520 N FESS AVE</v>
      </c>
      <c r="D137" t="e">
        <f>VLOOKUP(A137,Sector!A:A,1,FALSE)</f>
        <v>#N/A</v>
      </c>
    </row>
    <row r="138" spans="1:4" hidden="1" x14ac:dyDescent="0.3">
      <c r="A138" t="s">
        <v>241</v>
      </c>
      <c r="B138" t="e">
        <f>VLOOKUP(A138,Enrollment!A:A,1,FALSE)</f>
        <v>#N/A</v>
      </c>
      <c r="C138" t="str">
        <f>VLOOKUP(A138,Building!A:A,1,FALSE)</f>
        <v>520 N INDIANA AVE</v>
      </c>
      <c r="D138" t="str">
        <f>VLOOKUP(A138,Sector!A:A,1,FALSE)</f>
        <v>520 N INDIANA AVE</v>
      </c>
    </row>
    <row r="139" spans="1:4" hidden="1" x14ac:dyDescent="0.3">
      <c r="A139" t="s">
        <v>205</v>
      </c>
      <c r="B139" t="e">
        <f>VLOOKUP(A139,Enrollment!A:A,1,FALSE)</f>
        <v>#N/A</v>
      </c>
      <c r="C139" t="str">
        <f>VLOOKUP(A139,Building!A:A,1,FALSE)</f>
        <v>521 N PARK AVE</v>
      </c>
      <c r="D139" t="e">
        <f>VLOOKUP(A139,Sector!A:A,1,FALSE)</f>
        <v>#N/A</v>
      </c>
    </row>
    <row r="140" spans="1:4" hidden="1" x14ac:dyDescent="0.3">
      <c r="A140" t="s">
        <v>219</v>
      </c>
      <c r="B140" t="e">
        <f>VLOOKUP(A140,Enrollment!A:A,1,FALSE)</f>
        <v>#N/A</v>
      </c>
      <c r="C140" t="str">
        <f>VLOOKUP(A140,Building!A:A,1,FALSE)</f>
        <v>527 E 7TH ST</v>
      </c>
      <c r="D140" t="str">
        <f>VLOOKUP(A140,Sector!A:A,1,FALSE)</f>
        <v>527 E 7TH ST</v>
      </c>
    </row>
    <row r="141" spans="1:4" hidden="1" x14ac:dyDescent="0.3">
      <c r="A141" t="s">
        <v>220</v>
      </c>
      <c r="B141" t="e">
        <f>VLOOKUP(A141,Enrollment!A:A,1,FALSE)</f>
        <v>#N/A</v>
      </c>
      <c r="C141" t="str">
        <f>VLOOKUP(A141,Building!A:A,1,FALSE)</f>
        <v>528 E 7TH ST</v>
      </c>
      <c r="D141" t="str">
        <f>VLOOKUP(A141,Sector!A:A,1,FALSE)</f>
        <v>528 E 7TH ST</v>
      </c>
    </row>
    <row r="142" spans="1:4" hidden="1" x14ac:dyDescent="0.3">
      <c r="A142" t="s">
        <v>261</v>
      </c>
      <c r="B142" t="e">
        <f>VLOOKUP(A142,Enrollment!A:A,1,FALSE)</f>
        <v>#N/A</v>
      </c>
      <c r="C142" t="str">
        <f>VLOOKUP(A142,Building!A:A,1,FALSE)</f>
        <v>528 N INDIANA AVE</v>
      </c>
      <c r="D142" t="str">
        <f>VLOOKUP(A142,Sector!A:A,1,FALSE)</f>
        <v>528 N INDIANA AVE</v>
      </c>
    </row>
    <row r="143" spans="1:4" hidden="1" x14ac:dyDescent="0.3">
      <c r="A143" t="s">
        <v>384</v>
      </c>
      <c r="B143" t="e">
        <f>VLOOKUP(A143,Enrollment!A:A,1,FALSE)</f>
        <v>#N/A</v>
      </c>
      <c r="C143" t="str">
        <f>VLOOKUP(A143,Building!A:A,1,FALSE)</f>
        <v>603 E 12TH ST GARAGE</v>
      </c>
      <c r="D143" t="str">
        <f>VLOOKUP(A143,Sector!A:A,1,FALSE)</f>
        <v>603 E 12TH ST GARAGE</v>
      </c>
    </row>
    <row r="144" spans="1:4" hidden="1" x14ac:dyDescent="0.3">
      <c r="A144" t="s">
        <v>422</v>
      </c>
      <c r="B144" t="e">
        <f>VLOOKUP(A144,Enrollment!A:A,1,FALSE)</f>
        <v>#N/A</v>
      </c>
      <c r="C144" t="str">
        <f>VLOOKUP(A144,Building!A:A,1,FALSE)</f>
        <v>607 E 12TH ST</v>
      </c>
      <c r="D144" t="str">
        <f>VLOOKUP(A144,Sector!A:A,1,FALSE)</f>
        <v>607 E 12TH ST</v>
      </c>
    </row>
    <row r="145" spans="1:4" hidden="1" x14ac:dyDescent="0.3">
      <c r="A145" t="s">
        <v>409</v>
      </c>
      <c r="B145" t="e">
        <f>VLOOKUP(A145,Enrollment!A:A,1,FALSE)</f>
        <v>#N/A</v>
      </c>
      <c r="C145" t="str">
        <f>VLOOKUP(A145,Building!A:A,1,FALSE)</f>
        <v>607 E 13TH ST</v>
      </c>
      <c r="D145" t="e">
        <f>VLOOKUP(A145,Sector!A:A,1,FALSE)</f>
        <v>#N/A</v>
      </c>
    </row>
    <row r="146" spans="1:4" hidden="1" x14ac:dyDescent="0.3">
      <c r="A146" t="s">
        <v>423</v>
      </c>
      <c r="B146" t="e">
        <f>VLOOKUP(A146,Enrollment!A:A,1,FALSE)</f>
        <v>#N/A</v>
      </c>
      <c r="C146" t="str">
        <f>VLOOKUP(A146,Building!A:A,1,FALSE)</f>
        <v>608 E 12TH ST</v>
      </c>
      <c r="D146" t="str">
        <f>VLOOKUP(A146,Sector!A:A,1,FALSE)</f>
        <v>608 E 12TH ST</v>
      </c>
    </row>
    <row r="147" spans="1:4" hidden="1" x14ac:dyDescent="0.3">
      <c r="A147" t="s">
        <v>239</v>
      </c>
      <c r="B147" t="e">
        <f>VLOOKUP(A147,Enrollment!A:A,1,FALSE)</f>
        <v>#N/A</v>
      </c>
      <c r="C147" t="str">
        <f>VLOOKUP(A147,Building!A:A,1,FALSE)</f>
        <v>611 N PARK AVE</v>
      </c>
      <c r="D147" t="e">
        <f>VLOOKUP(A147,Sector!A:A,1,FALSE)</f>
        <v>#N/A</v>
      </c>
    </row>
    <row r="148" spans="1:4" hidden="1" x14ac:dyDescent="0.3">
      <c r="A148" t="s">
        <v>374</v>
      </c>
      <c r="B148" t="e">
        <f>VLOOKUP(A148,Enrollment!A:A,1,FALSE)</f>
        <v>#N/A</v>
      </c>
      <c r="C148" t="str">
        <f>VLOOKUP(A148,Building!A:A,1,FALSE)</f>
        <v>611 N WOODLAWN AVE</v>
      </c>
      <c r="D148" t="str">
        <f>VLOOKUP(A148,Sector!A:A,1,FALSE)</f>
        <v>611 N WOODLAWN AVE</v>
      </c>
    </row>
    <row r="149" spans="1:4" hidden="1" x14ac:dyDescent="0.3">
      <c r="A149" t="s">
        <v>272</v>
      </c>
      <c r="B149" t="e">
        <f>VLOOKUP(A149,Enrollment!A:A,1,FALSE)</f>
        <v>#N/A</v>
      </c>
      <c r="C149" t="str">
        <f>VLOOKUP(A149,Building!A:A,1,FALSE)</f>
        <v>612 N PARK AVE</v>
      </c>
      <c r="D149" t="e">
        <f>VLOOKUP(A149,Sector!A:A,1,FALSE)</f>
        <v>#N/A</v>
      </c>
    </row>
    <row r="150" spans="1:4" hidden="1" x14ac:dyDescent="0.3">
      <c r="A150" t="s">
        <v>206</v>
      </c>
      <c r="B150" t="e">
        <f>VLOOKUP(A150,Enrollment!A:A,1,FALSE)</f>
        <v>#N/A</v>
      </c>
      <c r="C150" t="str">
        <f>VLOOKUP(A150,Building!A:A,1,FALSE)</f>
        <v>615 E 11TH ST</v>
      </c>
      <c r="D150" t="e">
        <f>VLOOKUP(A150,Sector!A:A,1,FALSE)</f>
        <v>#N/A</v>
      </c>
    </row>
    <row r="151" spans="1:4" hidden="1" x14ac:dyDescent="0.3">
      <c r="A151" t="s">
        <v>385</v>
      </c>
      <c r="B151" t="e">
        <f>VLOOKUP(A151,Enrollment!A:A,1,FALSE)</f>
        <v>#N/A</v>
      </c>
      <c r="C151" t="str">
        <f>VLOOKUP(A151,Building!A:A,1,FALSE)</f>
        <v>615 E 13TH ST</v>
      </c>
      <c r="D151" t="e">
        <f>VLOOKUP(A151,Sector!A:A,1,FALSE)</f>
        <v>#N/A</v>
      </c>
    </row>
    <row r="152" spans="1:4" hidden="1" x14ac:dyDescent="0.3">
      <c r="A152" t="s">
        <v>424</v>
      </c>
      <c r="B152" t="e">
        <f>VLOOKUP(A152,Enrollment!A:A,1,FALSE)</f>
        <v>#N/A</v>
      </c>
      <c r="C152" t="str">
        <f>VLOOKUP(A152,Building!A:A,1,FALSE)</f>
        <v>615 E 14TH ST</v>
      </c>
      <c r="D152" t="str">
        <f>VLOOKUP(A152,Sector!A:A,1,FALSE)</f>
        <v>615 E 14TH ST</v>
      </c>
    </row>
    <row r="153" spans="1:4" hidden="1" x14ac:dyDescent="0.3">
      <c r="A153" t="s">
        <v>222</v>
      </c>
      <c r="B153" t="e">
        <f>VLOOKUP(A153,Enrollment!A:A,1,FALSE)</f>
        <v>#N/A</v>
      </c>
      <c r="C153" t="str">
        <f>VLOOKUP(A153,Building!A:A,1,FALSE)</f>
        <v>618 E 3RD ST</v>
      </c>
      <c r="D153" t="str">
        <f>VLOOKUP(A153,Sector!A:A,1,FALSE)</f>
        <v>618 E 3RD ST</v>
      </c>
    </row>
    <row r="154" spans="1:4" hidden="1" x14ac:dyDescent="0.3">
      <c r="A154" t="s">
        <v>207</v>
      </c>
      <c r="B154" t="e">
        <f>VLOOKUP(A154,Enrollment!A:A,1,FALSE)</f>
        <v>#N/A</v>
      </c>
      <c r="C154" t="str">
        <f>VLOOKUP(A154,Building!A:A,1,FALSE)</f>
        <v>620 E 11TH ST</v>
      </c>
      <c r="D154" t="e">
        <f>VLOOKUP(A154,Sector!A:A,1,FALSE)</f>
        <v>#N/A</v>
      </c>
    </row>
    <row r="155" spans="1:4" hidden="1" x14ac:dyDescent="0.3">
      <c r="A155" t="s">
        <v>208</v>
      </c>
      <c r="B155" t="e">
        <f>VLOOKUP(A155,Enrollment!A:A,1,FALSE)</f>
        <v>#N/A</v>
      </c>
      <c r="C155" t="str">
        <f>VLOOKUP(A155,Building!A:A,1,FALSE)</f>
        <v>621 E 11TH ST</v>
      </c>
      <c r="D155" t="e">
        <f>VLOOKUP(A155,Sector!A:A,1,FALSE)</f>
        <v>#N/A</v>
      </c>
    </row>
    <row r="156" spans="1:4" hidden="1" x14ac:dyDescent="0.3">
      <c r="A156" t="s">
        <v>210</v>
      </c>
      <c r="B156" t="e">
        <f>VLOOKUP(A156,Enrollment!A:A,1,FALSE)</f>
        <v>#N/A</v>
      </c>
      <c r="C156" t="str">
        <f>VLOOKUP(A156,Building!A:A,1,FALSE)</f>
        <v>622 E 11TH ST</v>
      </c>
      <c r="D156" t="e">
        <f>VLOOKUP(A156,Sector!A:A,1,FALSE)</f>
        <v>#N/A</v>
      </c>
    </row>
    <row r="157" spans="1:4" hidden="1" x14ac:dyDescent="0.3">
      <c r="A157" t="s">
        <v>388</v>
      </c>
      <c r="B157" t="e">
        <f>VLOOKUP(A157,Enrollment!A:A,1,FALSE)</f>
        <v>#N/A</v>
      </c>
      <c r="C157" t="str">
        <f>VLOOKUP(A157,Building!A:A,1,FALSE)</f>
        <v>623 E 13TH ST</v>
      </c>
      <c r="D157" t="str">
        <f>VLOOKUP(A157,Sector!A:A,1,FALSE)</f>
        <v>623 E 13TH ST</v>
      </c>
    </row>
    <row r="158" spans="1:4" hidden="1" x14ac:dyDescent="0.3">
      <c r="A158" t="s">
        <v>223</v>
      </c>
      <c r="B158" t="e">
        <f>VLOOKUP(A158,Enrollment!A:A,1,FALSE)</f>
        <v>#N/A</v>
      </c>
      <c r="C158" t="str">
        <f>VLOOKUP(A158,Building!A:A,1,FALSE)</f>
        <v>624 E 3RD ST</v>
      </c>
      <c r="D158" t="str">
        <f>VLOOKUP(A158,Sector!A:A,1,FALSE)</f>
        <v>624 E 3RD ST</v>
      </c>
    </row>
    <row r="159" spans="1:4" hidden="1" x14ac:dyDescent="0.3">
      <c r="A159" t="s">
        <v>221</v>
      </c>
      <c r="B159" t="e">
        <f>VLOOKUP(A159,Enrollment!A:A,1,FALSE)</f>
        <v>#N/A</v>
      </c>
      <c r="C159" t="str">
        <f>VLOOKUP(A159,Building!A:A,1,FALSE)</f>
        <v>630 E 3RD ST</v>
      </c>
      <c r="D159" t="str">
        <f>VLOOKUP(A159,Sector!A:A,1,FALSE)</f>
        <v>630 E 3RD ST</v>
      </c>
    </row>
    <row r="160" spans="1:4" hidden="1" x14ac:dyDescent="0.3">
      <c r="A160" t="s">
        <v>237</v>
      </c>
      <c r="B160" t="e">
        <f>VLOOKUP(A160,Enrollment!A:A,1,FALSE)</f>
        <v>#N/A</v>
      </c>
      <c r="C160" t="str">
        <f>VLOOKUP(A160,Building!A:A,1,FALSE)</f>
        <v>701 E 10TH ST</v>
      </c>
      <c r="D160" t="e">
        <f>VLOOKUP(A160,Sector!A:A,1,FALSE)</f>
        <v>#N/A</v>
      </c>
    </row>
    <row r="161" spans="1:4" hidden="1" x14ac:dyDescent="0.3">
      <c r="A161" t="s">
        <v>161</v>
      </c>
      <c r="B161" t="str">
        <f>VLOOKUP(A161,Enrollment!A:A,1,FALSE)</f>
        <v>701 E 8TH ST</v>
      </c>
      <c r="C161" t="str">
        <f>VLOOKUP(A161,Building!A:A,1,FALSE)</f>
        <v>701 E 8TH ST</v>
      </c>
      <c r="D161" t="e">
        <f>VLOOKUP(A161,Sector!A:A,1,FALSE)</f>
        <v>#N/A</v>
      </c>
    </row>
    <row r="162" spans="1:4" hidden="1" x14ac:dyDescent="0.3">
      <c r="A162" t="s">
        <v>394</v>
      </c>
      <c r="B162" t="e">
        <f>VLOOKUP(A162,Enrollment!A:A,1,FALSE)</f>
        <v>#N/A</v>
      </c>
      <c r="C162" t="str">
        <f>VLOOKUP(A162,Building!A:A,1,FALSE)</f>
        <v>703 E 11TH ST</v>
      </c>
      <c r="D162" t="e">
        <f>VLOOKUP(A162,Sector!A:A,1,FALSE)</f>
        <v>#N/A</v>
      </c>
    </row>
    <row r="163" spans="1:4" hidden="1" x14ac:dyDescent="0.3">
      <c r="A163" t="s">
        <v>265</v>
      </c>
      <c r="B163" t="e">
        <f>VLOOKUP(A163,Enrollment!A:A,1,FALSE)</f>
        <v>#N/A</v>
      </c>
      <c r="C163" t="str">
        <f>VLOOKUP(A163,Building!A:A,1,FALSE)</f>
        <v>704 E 8TH ST</v>
      </c>
      <c r="D163" t="str">
        <f>VLOOKUP(A163,Sector!A:A,1,FALSE)</f>
        <v>704 E 8TH ST</v>
      </c>
    </row>
    <row r="164" spans="1:4" hidden="1" x14ac:dyDescent="0.3">
      <c r="A164" t="s">
        <v>396</v>
      </c>
      <c r="B164" t="e">
        <f>VLOOKUP(A164,Enrollment!A:A,1,FALSE)</f>
        <v>#N/A</v>
      </c>
      <c r="C164" t="str">
        <f>VLOOKUP(A164,Building!A:A,1,FALSE)</f>
        <v>707 E 11TH GARAGE</v>
      </c>
      <c r="D164" t="e">
        <f>VLOOKUP(A164,Sector!A:A,1,FALSE)</f>
        <v>#N/A</v>
      </c>
    </row>
    <row r="165" spans="1:4" hidden="1" x14ac:dyDescent="0.3">
      <c r="A165" t="s">
        <v>395</v>
      </c>
      <c r="B165" t="e">
        <f>VLOOKUP(A165,Enrollment!A:A,1,FALSE)</f>
        <v>#N/A</v>
      </c>
      <c r="C165" t="str">
        <f>VLOOKUP(A165,Building!A:A,1,FALSE)</f>
        <v>707 E 11TH ST</v>
      </c>
      <c r="D165" t="e">
        <f>VLOOKUP(A165,Sector!A:A,1,FALSE)</f>
        <v>#N/A</v>
      </c>
    </row>
    <row r="166" spans="1:4" hidden="1" x14ac:dyDescent="0.3">
      <c r="A166" t="s">
        <v>247</v>
      </c>
      <c r="B166" t="e">
        <f>VLOOKUP(A166,Enrollment!A:A,1,FALSE)</f>
        <v>#N/A</v>
      </c>
      <c r="C166" t="str">
        <f>VLOOKUP(A166,Building!A:A,1,FALSE)</f>
        <v>708 E 11TH ST</v>
      </c>
      <c r="D166" t="e">
        <f>VLOOKUP(A166,Sector!A:A,1,FALSE)</f>
        <v>#N/A</v>
      </c>
    </row>
    <row r="167" spans="1:4" hidden="1" x14ac:dyDescent="0.3">
      <c r="A167" t="s">
        <v>248</v>
      </c>
      <c r="B167" t="e">
        <f>VLOOKUP(A167,Enrollment!A:A,1,FALSE)</f>
        <v>#N/A</v>
      </c>
      <c r="C167" t="str">
        <f>VLOOKUP(A167,Building!A:A,1,FALSE)</f>
        <v>708 E 11TH ST GARAGE</v>
      </c>
      <c r="D167" t="e">
        <f>VLOOKUP(A167,Sector!A:A,1,FALSE)</f>
        <v>#N/A</v>
      </c>
    </row>
    <row r="168" spans="1:4" hidden="1" x14ac:dyDescent="0.3">
      <c r="A168" t="s">
        <v>268</v>
      </c>
      <c r="B168" t="e">
        <f>VLOOKUP(A168,Enrollment!A:A,1,FALSE)</f>
        <v>#N/A</v>
      </c>
      <c r="C168" t="str">
        <f>VLOOKUP(A168,Building!A:A,1,FALSE)</f>
        <v>708 E 8TH ST</v>
      </c>
      <c r="D168" t="str">
        <f>VLOOKUP(A168,Sector!A:A,1,FALSE)</f>
        <v>708 E 8TH ST</v>
      </c>
    </row>
    <row r="169" spans="1:4" hidden="1" x14ac:dyDescent="0.3">
      <c r="A169" t="s">
        <v>256</v>
      </c>
      <c r="B169" t="e">
        <f>VLOOKUP(A169,Enrollment!A:A,1,FALSE)</f>
        <v>#N/A</v>
      </c>
      <c r="C169" t="str">
        <f>VLOOKUP(A169,Building!A:A,1,FALSE)</f>
        <v>710 E COTTAGE GROVE</v>
      </c>
      <c r="D169" t="str">
        <f>VLOOKUP(A169,Sector!A:A,1,FALSE)</f>
        <v>710 E COTTAGE GROVE</v>
      </c>
    </row>
    <row r="170" spans="1:4" hidden="1" x14ac:dyDescent="0.3">
      <c r="A170" t="s">
        <v>411</v>
      </c>
      <c r="B170" t="e">
        <f>VLOOKUP(A170,Enrollment!A:A,1,FALSE)</f>
        <v>#N/A</v>
      </c>
      <c r="C170" t="str">
        <f>VLOOKUP(A170,Building!A:A,1,FALSE)</f>
        <v>710 N FESS AVE</v>
      </c>
      <c r="D170" t="str">
        <f>VLOOKUP(A170,Sector!A:A,1,FALSE)</f>
        <v>710 N FESS AVE</v>
      </c>
    </row>
    <row r="171" spans="1:4" hidden="1" x14ac:dyDescent="0.3">
      <c r="A171" t="s">
        <v>487</v>
      </c>
      <c r="B171" t="e">
        <f>VLOOKUP(A171,Enrollment!A:A,1,FALSE)</f>
        <v>#N/A</v>
      </c>
      <c r="C171" t="str">
        <f>VLOOKUP(A171,Building!A:A,1,FALSE)</f>
        <v>711 E SR45/46 GREENHS</v>
      </c>
      <c r="D171" t="str">
        <f>VLOOKUP(A171,Sector!A:A,1,FALSE)</f>
        <v>711 E SR45/46 GREENHS</v>
      </c>
    </row>
    <row r="172" spans="1:4" hidden="1" x14ac:dyDescent="0.3">
      <c r="A172" t="s">
        <v>486</v>
      </c>
      <c r="B172" t="e">
        <f>VLOOKUP(A172,Enrollment!A:A,1,FALSE)</f>
        <v>#N/A</v>
      </c>
      <c r="C172" t="str">
        <f>VLOOKUP(A172,Building!A:A,1,FALSE)</f>
        <v>711 E SR45/46 HOUSE</v>
      </c>
      <c r="D172" t="str">
        <f>VLOOKUP(A172,Sector!A:A,1,FALSE)</f>
        <v>711 E SR45/46 HOUSE</v>
      </c>
    </row>
    <row r="173" spans="1:4" hidden="1" x14ac:dyDescent="0.3">
      <c r="A173" t="s">
        <v>377</v>
      </c>
      <c r="B173" t="e">
        <f>VLOOKUP(A173,Enrollment!A:A,1,FALSE)</f>
        <v>#N/A</v>
      </c>
      <c r="C173" t="str">
        <f>VLOOKUP(A173,Building!A:A,1,FALSE)</f>
        <v>711 N PARK AVE</v>
      </c>
      <c r="D173" t="e">
        <f>VLOOKUP(A173,Sector!A:A,1,FALSE)</f>
        <v>#N/A</v>
      </c>
    </row>
    <row r="174" spans="1:4" hidden="1" x14ac:dyDescent="0.3">
      <c r="A174" t="s">
        <v>378</v>
      </c>
      <c r="B174" t="e">
        <f>VLOOKUP(A174,Enrollment!A:A,1,FALSE)</f>
        <v>#N/A</v>
      </c>
      <c r="C174" t="str">
        <f>VLOOKUP(A174,Building!A:A,1,FALSE)</f>
        <v>711 N PARK GARAGE</v>
      </c>
      <c r="D174" t="e">
        <f>VLOOKUP(A174,Sector!A:A,1,FALSE)</f>
        <v>#N/A</v>
      </c>
    </row>
    <row r="175" spans="1:4" hidden="1" x14ac:dyDescent="0.3">
      <c r="A175" t="s">
        <v>392</v>
      </c>
      <c r="B175" t="e">
        <f>VLOOKUP(A175,Enrollment!A:A,1,FALSE)</f>
        <v>#N/A</v>
      </c>
      <c r="C175" t="str">
        <f>VLOOKUP(A175,Building!A:A,1,FALSE)</f>
        <v>712 E 12TH ST-GARAGE</v>
      </c>
      <c r="D175" t="e">
        <f>VLOOKUP(A175,Sector!A:A,1,FALSE)</f>
        <v>#N/A</v>
      </c>
    </row>
    <row r="176" spans="1:4" hidden="1" x14ac:dyDescent="0.3">
      <c r="A176" t="s">
        <v>232</v>
      </c>
      <c r="B176" t="e">
        <f>VLOOKUP(A176,Enrollment!A:A,1,FALSE)</f>
        <v>#N/A</v>
      </c>
      <c r="C176" t="str">
        <f>VLOOKUP(A176,Building!A:A,1,FALSE)</f>
        <v>712 E 8TH ST</v>
      </c>
      <c r="D176" t="str">
        <f>VLOOKUP(A176,Sector!A:A,1,FALSE)</f>
        <v>712 E 8TH ST</v>
      </c>
    </row>
    <row r="177" spans="1:4" hidden="1" x14ac:dyDescent="0.3">
      <c r="A177" t="s">
        <v>366</v>
      </c>
      <c r="B177" t="e">
        <f>VLOOKUP(A177,Enrollment!A:A,1,FALSE)</f>
        <v>#N/A</v>
      </c>
      <c r="C177" t="str">
        <f>VLOOKUP(A177,Building!A:A,1,FALSE)</f>
        <v>713 E COTTAGE GR</v>
      </c>
      <c r="D177" t="e">
        <f>VLOOKUP(A177,Sector!A:A,1,FALSE)</f>
        <v>#N/A</v>
      </c>
    </row>
    <row r="178" spans="1:4" hidden="1" x14ac:dyDescent="0.3">
      <c r="A178" t="s">
        <v>266</v>
      </c>
      <c r="B178" t="e">
        <f>VLOOKUP(A178,Enrollment!A:A,1,FALSE)</f>
        <v>#N/A</v>
      </c>
      <c r="C178" t="str">
        <f>VLOOKUP(A178,Building!A:A,1,FALSE)</f>
        <v>714 E 8TH ST</v>
      </c>
      <c r="D178" t="e">
        <f>VLOOKUP(A178,Sector!A:A,1,FALSE)</f>
        <v>#N/A</v>
      </c>
    </row>
    <row r="179" spans="1:4" hidden="1" x14ac:dyDescent="0.3">
      <c r="A179" t="s">
        <v>398</v>
      </c>
      <c r="B179" t="e">
        <f>VLOOKUP(A179,Enrollment!A:A,1,FALSE)</f>
        <v>#N/A</v>
      </c>
      <c r="C179" t="str">
        <f>VLOOKUP(A179,Building!A:A,1,FALSE)</f>
        <v>715 E 11TH ST</v>
      </c>
      <c r="D179" t="e">
        <f>VLOOKUP(A179,Sector!A:A,1,FALSE)</f>
        <v>#N/A</v>
      </c>
    </row>
    <row r="180" spans="1:4" hidden="1" x14ac:dyDescent="0.3">
      <c r="A180" t="s">
        <v>267</v>
      </c>
      <c r="B180" t="e">
        <f>VLOOKUP(A180,Enrollment!A:A,1,FALSE)</f>
        <v>#N/A</v>
      </c>
      <c r="C180" t="str">
        <f>VLOOKUP(A180,Building!A:A,1,FALSE)</f>
        <v>715 E 8TH ST</v>
      </c>
      <c r="D180" t="str">
        <f>VLOOKUP(A180,Sector!A:A,1,FALSE)</f>
        <v>715 E 8TH ST</v>
      </c>
    </row>
    <row r="181" spans="1:4" hidden="1" x14ac:dyDescent="0.3">
      <c r="A181" t="s">
        <v>211</v>
      </c>
      <c r="B181" t="e">
        <f>VLOOKUP(A181,Enrollment!A:A,1,FALSE)</f>
        <v>#N/A</v>
      </c>
      <c r="C181" t="str">
        <f>VLOOKUP(A181,Building!A:A,1,FALSE)</f>
        <v>716 N INDIANA AVE</v>
      </c>
      <c r="D181" t="str">
        <f>VLOOKUP(A181,Sector!A:A,1,FALSE)</f>
        <v>716 N INDIANA AVE</v>
      </c>
    </row>
    <row r="182" spans="1:4" hidden="1" x14ac:dyDescent="0.3">
      <c r="A182" t="s">
        <v>233</v>
      </c>
      <c r="B182" t="e">
        <f>VLOOKUP(A182,Enrollment!A:A,1,FALSE)</f>
        <v>#N/A</v>
      </c>
      <c r="C182" t="str">
        <f>VLOOKUP(A182,Building!A:A,1,FALSE)</f>
        <v>717 E 8TH ST</v>
      </c>
      <c r="D182" t="e">
        <f>VLOOKUP(A182,Sector!A:A,1,FALSE)</f>
        <v>#N/A</v>
      </c>
    </row>
    <row r="183" spans="1:4" hidden="1" x14ac:dyDescent="0.3">
      <c r="A183" t="s">
        <v>212</v>
      </c>
      <c r="B183" t="e">
        <f>VLOOKUP(A183,Enrollment!A:A,1,FALSE)</f>
        <v>#N/A</v>
      </c>
      <c r="C183" t="str">
        <f>VLOOKUP(A183,Building!A:A,1,FALSE)</f>
        <v>718 N INDIANA AVE</v>
      </c>
      <c r="D183" t="str">
        <f>VLOOKUP(A183,Sector!A:A,1,FALSE)</f>
        <v>718 N INDIANA AVE</v>
      </c>
    </row>
    <row r="184" spans="1:4" hidden="1" x14ac:dyDescent="0.3">
      <c r="A184" t="s">
        <v>489</v>
      </c>
      <c r="B184" t="e">
        <f>VLOOKUP(A184,Enrollment!A:A,1,FALSE)</f>
        <v>#N/A</v>
      </c>
      <c r="C184" t="str">
        <f>VLOOKUP(A184,Building!A:A,1,FALSE)</f>
        <v>721 E STATE RD 45/46 BYP</v>
      </c>
      <c r="D184" t="str">
        <f>VLOOKUP(A184,Sector!A:A,1,FALSE)</f>
        <v>721 E STATE RD 45/46 BYP</v>
      </c>
    </row>
    <row r="185" spans="1:4" hidden="1" x14ac:dyDescent="0.3">
      <c r="A185" t="s">
        <v>379</v>
      </c>
      <c r="B185" t="e">
        <f>VLOOKUP(A185,Enrollment!A:A,1,FALSE)</f>
        <v>#N/A</v>
      </c>
      <c r="C185" t="str">
        <f>VLOOKUP(A185,Building!A:A,1,FALSE)</f>
        <v>721 N PARK AVE</v>
      </c>
      <c r="D185" t="e">
        <f>VLOOKUP(A185,Sector!A:A,1,FALSE)</f>
        <v>#N/A</v>
      </c>
    </row>
    <row r="186" spans="1:4" hidden="1" x14ac:dyDescent="0.3">
      <c r="A186" t="s">
        <v>209</v>
      </c>
      <c r="B186" t="e">
        <f>VLOOKUP(A186,Enrollment!A:A,1,FALSE)</f>
        <v>#N/A</v>
      </c>
      <c r="C186" t="str">
        <f>VLOOKUP(A186,Building!A:A,1,FALSE)</f>
        <v>722 N INDIANA AVE</v>
      </c>
      <c r="D186" t="str">
        <f>VLOOKUP(A186,Sector!A:A,1,FALSE)</f>
        <v>722 N INDIANA AVE</v>
      </c>
    </row>
    <row r="187" spans="1:4" hidden="1" x14ac:dyDescent="0.3">
      <c r="A187" t="s">
        <v>283</v>
      </c>
      <c r="B187" t="e">
        <f>VLOOKUP(A187,Enrollment!A:A,1,FALSE)</f>
        <v>#N/A</v>
      </c>
      <c r="C187" t="str">
        <f>VLOOKUP(A187,Building!A:A,1,FALSE)</f>
        <v>7TH ST HUT</v>
      </c>
      <c r="D187" t="str">
        <f>VLOOKUP(A187,Sector!A:A,1,FALSE)</f>
        <v>7TH ST HUT</v>
      </c>
    </row>
    <row r="188" spans="1:4" hidden="1" x14ac:dyDescent="0.3">
      <c r="A188" t="s">
        <v>213</v>
      </c>
      <c r="B188" t="e">
        <f>VLOOKUP(A188,Enrollment!A:A,1,FALSE)</f>
        <v>#N/A</v>
      </c>
      <c r="C188" t="str">
        <f>VLOOKUP(A188,Building!A:A,1,FALSE)</f>
        <v>800 N INDIANA AVE</v>
      </c>
      <c r="D188" t="str">
        <f>VLOOKUP(A188,Sector!A:A,1,FALSE)</f>
        <v>800 N INDIANA AVE</v>
      </c>
    </row>
    <row r="189" spans="1:4" hidden="1" x14ac:dyDescent="0.3">
      <c r="A189" t="s">
        <v>372</v>
      </c>
      <c r="B189" t="e">
        <f>VLOOKUP(A189,Enrollment!A:A,1,FALSE)</f>
        <v>#N/A</v>
      </c>
      <c r="C189" t="str">
        <f>VLOOKUP(A189,Building!A:A,1,FALSE)</f>
        <v>801 E 10TH ST</v>
      </c>
      <c r="D189" t="e">
        <f>VLOOKUP(A189,Sector!A:A,1,FALSE)</f>
        <v>#N/A</v>
      </c>
    </row>
    <row r="190" spans="1:4" hidden="1" x14ac:dyDescent="0.3">
      <c r="A190" t="s">
        <v>236</v>
      </c>
      <c r="B190" t="e">
        <f>VLOOKUP(A190,Enrollment!A:A,1,FALSE)</f>
        <v>#N/A</v>
      </c>
      <c r="C190" t="str">
        <f>VLOOKUP(A190,Building!A:A,1,FALSE)</f>
        <v>801 E 9TH ST</v>
      </c>
      <c r="D190" t="e">
        <f>VLOOKUP(A190,Sector!A:A,1,FALSE)</f>
        <v>#N/A</v>
      </c>
    </row>
    <row r="191" spans="1:4" hidden="1" x14ac:dyDescent="0.3">
      <c r="A191" t="s">
        <v>367</v>
      </c>
      <c r="B191" t="e">
        <f>VLOOKUP(A191,Enrollment!A:A,1,FALSE)</f>
        <v>#N/A</v>
      </c>
      <c r="C191" t="str">
        <f>VLOOKUP(A191,Building!A:A,1,FALSE)</f>
        <v>802 E COTTAGE GROVE AVE</v>
      </c>
      <c r="D191" t="e">
        <f>VLOOKUP(A191,Sector!A:A,1,FALSE)</f>
        <v>#N/A</v>
      </c>
    </row>
    <row r="192" spans="1:4" hidden="1" x14ac:dyDescent="0.3">
      <c r="A192" t="s">
        <v>375</v>
      </c>
      <c r="B192" t="e">
        <f>VLOOKUP(A192,Enrollment!A:A,1,FALSE)</f>
        <v>#N/A</v>
      </c>
      <c r="C192" t="str">
        <f>VLOOKUP(A192,Building!A:A,1,FALSE)</f>
        <v>805 E COTTAGE GROVE AVE</v>
      </c>
      <c r="D192" t="e">
        <f>VLOOKUP(A192,Sector!A:A,1,FALSE)</f>
        <v>#N/A</v>
      </c>
    </row>
    <row r="193" spans="1:4" hidden="1" x14ac:dyDescent="0.3">
      <c r="A193" t="s">
        <v>371</v>
      </c>
      <c r="B193" t="e">
        <f>VLOOKUP(A193,Enrollment!A:A,1,FALSE)</f>
        <v>#N/A</v>
      </c>
      <c r="C193" t="str">
        <f>VLOOKUP(A193,Building!A:A,1,FALSE)</f>
        <v>809 E 10TH ST</v>
      </c>
      <c r="D193" t="e">
        <f>VLOOKUP(A193,Sector!A:A,1,FALSE)</f>
        <v>#N/A</v>
      </c>
    </row>
    <row r="194" spans="1:4" hidden="1" x14ac:dyDescent="0.3">
      <c r="A194" t="s">
        <v>264</v>
      </c>
      <c r="B194" t="e">
        <f>VLOOKUP(A194,Enrollment!A:A,1,FALSE)</f>
        <v>#N/A</v>
      </c>
      <c r="C194" t="str">
        <f>VLOOKUP(A194,Building!A:A,1,FALSE)</f>
        <v>809 E 9TH ST</v>
      </c>
      <c r="D194" t="e">
        <f>VLOOKUP(A194,Sector!A:A,1,FALSE)</f>
        <v>#N/A</v>
      </c>
    </row>
    <row r="195" spans="1:4" hidden="1" x14ac:dyDescent="0.3">
      <c r="A195" t="s">
        <v>400</v>
      </c>
      <c r="B195" t="e">
        <f>VLOOKUP(A195,Enrollment!A:A,1,FALSE)</f>
        <v>#N/A</v>
      </c>
      <c r="C195" t="str">
        <f>VLOOKUP(A195,Building!A:A,1,FALSE)</f>
        <v>813 N PARK AVE</v>
      </c>
      <c r="D195" t="e">
        <f>VLOOKUP(A195,Sector!A:A,1,FALSE)</f>
        <v>#N/A</v>
      </c>
    </row>
    <row r="196" spans="1:4" hidden="1" x14ac:dyDescent="0.3">
      <c r="A196" t="s">
        <v>178</v>
      </c>
      <c r="B196" t="str">
        <f>VLOOKUP(A196,Enrollment!A:A,1,FALSE)</f>
        <v>814 E 3RD ST</v>
      </c>
      <c r="C196" t="str">
        <f>VLOOKUP(A196,Building!A:A,1,FALSE)</f>
        <v>814 E 3RD ST</v>
      </c>
      <c r="D196" t="str">
        <f>VLOOKUP(A196,Sector!A:A,1,FALSE)</f>
        <v>814 E 3RD ST</v>
      </c>
    </row>
    <row r="197" spans="1:4" hidden="1" x14ac:dyDescent="0.3">
      <c r="A197" t="s">
        <v>369</v>
      </c>
      <c r="B197" t="e">
        <f>VLOOKUP(A197,Enrollment!A:A,1,FALSE)</f>
        <v>#N/A</v>
      </c>
      <c r="C197" t="str">
        <f>VLOOKUP(A197,Building!A:A,1,FALSE)</f>
        <v>815 E 10TH ST</v>
      </c>
      <c r="D197" t="e">
        <f>VLOOKUP(A197,Sector!A:A,1,FALSE)</f>
        <v>#N/A</v>
      </c>
    </row>
    <row r="198" spans="1:4" hidden="1" x14ac:dyDescent="0.3">
      <c r="A198" t="s">
        <v>397</v>
      </c>
      <c r="B198" t="e">
        <f>VLOOKUP(A198,Enrollment!A:A,1,FALSE)</f>
        <v>#N/A</v>
      </c>
      <c r="C198" t="str">
        <f>VLOOKUP(A198,Building!A:A,1,FALSE)</f>
        <v>815 E COTTAGE GROVE AVE</v>
      </c>
      <c r="D198" t="e">
        <f>VLOOKUP(A198,Sector!A:A,1,FALSE)</f>
        <v>#N/A</v>
      </c>
    </row>
    <row r="199" spans="1:4" hidden="1" x14ac:dyDescent="0.3">
      <c r="A199" t="s">
        <v>399</v>
      </c>
      <c r="B199" t="e">
        <f>VLOOKUP(A199,Enrollment!A:A,1,FALSE)</f>
        <v>#N/A</v>
      </c>
      <c r="C199" t="str">
        <f>VLOOKUP(A199,Building!A:A,1,FALSE)</f>
        <v>815 N PARK AVE</v>
      </c>
      <c r="D199" t="e">
        <f>VLOOKUP(A199,Sector!A:A,1,FALSE)</f>
        <v>#N/A</v>
      </c>
    </row>
    <row r="200" spans="1:4" hidden="1" x14ac:dyDescent="0.3">
      <c r="A200" t="s">
        <v>380</v>
      </c>
      <c r="B200" t="e">
        <f>VLOOKUP(A200,Enrollment!A:A,1,FALSE)</f>
        <v>#N/A</v>
      </c>
      <c r="C200" t="str">
        <f>VLOOKUP(A200,Building!A:A,1,FALSE)</f>
        <v>821 E 10TH ST</v>
      </c>
      <c r="D200" t="str">
        <f>VLOOKUP(A200,Sector!A:A,1,FALSE)</f>
        <v>821 E 10TH ST</v>
      </c>
    </row>
    <row r="201" spans="1:4" hidden="1" x14ac:dyDescent="0.3">
      <c r="A201" t="s">
        <v>393</v>
      </c>
      <c r="B201" t="e">
        <f>VLOOKUP(A201,Enrollment!A:A,1,FALSE)</f>
        <v>#N/A</v>
      </c>
      <c r="C201" t="str">
        <f>VLOOKUP(A201,Building!A:A,1,FALSE)</f>
        <v>821 E 11TH ST</v>
      </c>
      <c r="D201" t="e">
        <f>VLOOKUP(A201,Sector!A:A,1,FALSE)</f>
        <v>#N/A</v>
      </c>
    </row>
    <row r="202" spans="1:4" hidden="1" x14ac:dyDescent="0.3">
      <c r="A202" t="s">
        <v>368</v>
      </c>
      <c r="B202" t="e">
        <f>VLOOKUP(A202,Enrollment!A:A,1,FALSE)</f>
        <v>#N/A</v>
      </c>
      <c r="C202" t="str">
        <f>VLOOKUP(A202,Building!A:A,1,FALSE)</f>
        <v>822 E COTTAGE GROVE AVE</v>
      </c>
      <c r="D202" t="e">
        <f>VLOOKUP(A202,Sector!A:A,1,FALSE)</f>
        <v>#N/A</v>
      </c>
    </row>
    <row r="203" spans="1:4" hidden="1" x14ac:dyDescent="0.3">
      <c r="A203" t="s">
        <v>402</v>
      </c>
      <c r="B203" t="e">
        <f>VLOOKUP(A203,Enrollment!A:A,1,FALSE)</f>
        <v>#N/A</v>
      </c>
      <c r="C203" t="str">
        <f>VLOOKUP(A203,Building!A:A,1,FALSE)</f>
        <v>823 E 11TH ST GARAGE</v>
      </c>
      <c r="D203" t="str">
        <f>VLOOKUP(A203,Sector!A:A,1,FALSE)</f>
        <v>823 E 11TH ST GARAGE</v>
      </c>
    </row>
    <row r="204" spans="1:4" hidden="1" x14ac:dyDescent="0.3">
      <c r="A204" t="s">
        <v>401</v>
      </c>
      <c r="B204" t="e">
        <f>VLOOKUP(A204,Enrollment!A:A,1,FALSE)</f>
        <v>#N/A</v>
      </c>
      <c r="C204" t="str">
        <f>VLOOKUP(A204,Building!A:A,1,FALSE)</f>
        <v>823 E 11TH ST HOUSE</v>
      </c>
      <c r="D204" t="str">
        <f>VLOOKUP(A204,Sector!A:A,1,FALSE)</f>
        <v>823 E 11TH ST HOUSE</v>
      </c>
    </row>
    <row r="205" spans="1:4" hidden="1" x14ac:dyDescent="0.3">
      <c r="A205" t="s">
        <v>373</v>
      </c>
      <c r="B205" t="e">
        <f>VLOOKUP(A205,Enrollment!A:A,1,FALSE)</f>
        <v>#N/A</v>
      </c>
      <c r="C205" t="str">
        <f>VLOOKUP(A205,Building!A:A,1,FALSE)</f>
        <v>824 E COTTAGE GROVE AVE</v>
      </c>
      <c r="D205" t="e">
        <f>VLOOKUP(A205,Sector!A:A,1,FALSE)</f>
        <v>#N/A</v>
      </c>
    </row>
    <row r="206" spans="1:4" hidden="1" x14ac:dyDescent="0.3">
      <c r="A206" t="s">
        <v>376</v>
      </c>
      <c r="B206" t="e">
        <f>VLOOKUP(A206,Enrollment!A:A,1,FALSE)</f>
        <v>#N/A</v>
      </c>
      <c r="C206" t="str">
        <f>VLOOKUP(A206,Building!A:A,1,FALSE)</f>
        <v>824.5 E COTTAGE GROVE AVE</v>
      </c>
      <c r="D206" t="e">
        <f>VLOOKUP(A206,Sector!A:A,1,FALSE)</f>
        <v>#N/A</v>
      </c>
    </row>
    <row r="207" spans="1:4" hidden="1" x14ac:dyDescent="0.3">
      <c r="A207" t="s">
        <v>589</v>
      </c>
      <c r="B207" t="e">
        <f>VLOOKUP(A207,Enrollment!A:A,1,FALSE)</f>
        <v>#N/A</v>
      </c>
      <c r="C207" t="str">
        <f>VLOOKUP(A207,Building!A:A,1,FALSE)</f>
        <v>828 E COTTAGE GROVE</v>
      </c>
      <c r="D207" t="str">
        <f>VLOOKUP(A207,Sector!A:A,1,FALSE)</f>
        <v>828 E COTTAGE GROVE</v>
      </c>
    </row>
    <row r="208" spans="1:4" hidden="1" x14ac:dyDescent="0.3">
      <c r="A208" t="s">
        <v>590</v>
      </c>
      <c r="B208" t="e">
        <f>VLOOKUP(A208,Enrollment!A:A,1,FALSE)</f>
        <v>#N/A</v>
      </c>
      <c r="C208" t="str">
        <f>VLOOKUP(A208,Building!A:A,1,FALSE)</f>
        <v>829 E COTTAGE GROVE</v>
      </c>
      <c r="D208" t="str">
        <f>VLOOKUP(A208,Sector!A:A,1,FALSE)</f>
        <v>829 E COTTAGE GROVE</v>
      </c>
    </row>
    <row r="209" spans="1:4" hidden="1" x14ac:dyDescent="0.3">
      <c r="A209" t="s">
        <v>412</v>
      </c>
      <c r="B209" t="e">
        <f>VLOOKUP(A209,Enrollment!A:A,1,FALSE)</f>
        <v>#N/A</v>
      </c>
      <c r="C209" t="str">
        <f>VLOOKUP(A209,Building!A:A,1,FALSE)</f>
        <v>829 N FESS AVE</v>
      </c>
      <c r="D209" t="e">
        <f>VLOOKUP(A209,Sector!A:A,1,FALSE)</f>
        <v>#N/A</v>
      </c>
    </row>
    <row r="210" spans="1:4" hidden="1" x14ac:dyDescent="0.3">
      <c r="A210" t="s">
        <v>426</v>
      </c>
      <c r="B210" t="e">
        <f>VLOOKUP(A210,Enrollment!A:A,1,FALSE)</f>
        <v>#N/A</v>
      </c>
      <c r="C210" t="str">
        <f>VLOOKUP(A210,Building!A:A,1,FALSE)</f>
        <v>880 N WALNUT GROVE</v>
      </c>
      <c r="D210" t="str">
        <f>VLOOKUP(A210,Sector!A:A,1,FALSE)</f>
        <v>880 N WALNUT GROVE</v>
      </c>
    </row>
    <row r="211" spans="1:4" hidden="1" x14ac:dyDescent="0.3">
      <c r="A211" t="s">
        <v>280</v>
      </c>
      <c r="B211" t="e">
        <f>VLOOKUP(A211,Enrollment!A:A,1,FALSE)</f>
        <v>#N/A</v>
      </c>
      <c r="C211" t="str">
        <f>VLOOKUP(A211,Building!A:A,1,FALSE)</f>
        <v>8TH ST HUT (HPER)</v>
      </c>
      <c r="D211" t="str">
        <f>VLOOKUP(A211,Sector!A:A,1,FALSE)</f>
        <v>8TH ST HUT (HPER)</v>
      </c>
    </row>
    <row r="212" spans="1:4" hidden="1" x14ac:dyDescent="0.3">
      <c r="A212" t="s">
        <v>408</v>
      </c>
      <c r="B212" t="e">
        <f>VLOOKUP(A212,Enrollment!A:A,1,FALSE)</f>
        <v>#N/A</v>
      </c>
      <c r="C212" t="str">
        <f>VLOOKUP(A212,Building!A:A,1,FALSE)</f>
        <v>901 N WOODLAWN AVE</v>
      </c>
      <c r="D212" t="str">
        <f>VLOOKUP(A212,Sector!A:A,1,FALSE)</f>
        <v>901 N WOODLAWN AVE</v>
      </c>
    </row>
    <row r="213" spans="1:4" hidden="1" x14ac:dyDescent="0.3">
      <c r="A213" t="s">
        <v>413</v>
      </c>
      <c r="B213" t="e">
        <f>VLOOKUP(A213,Enrollment!A:A,1,FALSE)</f>
        <v>#N/A</v>
      </c>
      <c r="C213" t="str">
        <f>VLOOKUP(A213,Building!A:A,1,FALSE)</f>
        <v>905 E 14TH ST</v>
      </c>
      <c r="D213" t="e">
        <f>VLOOKUP(A213,Sector!A:A,1,FALSE)</f>
        <v>#N/A</v>
      </c>
    </row>
    <row r="214" spans="1:4" hidden="1" x14ac:dyDescent="0.3">
      <c r="A214" t="s">
        <v>416</v>
      </c>
      <c r="B214" t="e">
        <f>VLOOKUP(A214,Enrollment!A:A,1,FALSE)</f>
        <v>#N/A</v>
      </c>
      <c r="C214" t="str">
        <f>VLOOKUP(A214,Building!A:A,1,FALSE)</f>
        <v>908 E 14TH ST: GARAGE</v>
      </c>
      <c r="D214" t="str">
        <f>VLOOKUP(A214,Sector!A:A,1,FALSE)</f>
        <v>908 E 14TH ST: GARAGE</v>
      </c>
    </row>
    <row r="215" spans="1:4" hidden="1" x14ac:dyDescent="0.3">
      <c r="A215" t="s">
        <v>415</v>
      </c>
      <c r="B215" t="e">
        <f>VLOOKUP(A215,Enrollment!A:A,1,FALSE)</f>
        <v>#N/A</v>
      </c>
      <c r="C215" t="str">
        <f>VLOOKUP(A215,Building!A:A,1,FALSE)</f>
        <v>908 E 14TH ST: HOUSE</v>
      </c>
      <c r="D215" t="str">
        <f>VLOOKUP(A215,Sector!A:A,1,FALSE)</f>
        <v>908 E 14TH ST: HOUSE</v>
      </c>
    </row>
    <row r="216" spans="1:4" hidden="1" x14ac:dyDescent="0.3">
      <c r="A216" t="s">
        <v>414</v>
      </c>
      <c r="B216" t="e">
        <f>VLOOKUP(A216,Enrollment!A:A,1,FALSE)</f>
        <v>#N/A</v>
      </c>
      <c r="C216" t="str">
        <f>VLOOKUP(A216,Building!A:A,1,FALSE)</f>
        <v>913 E 14TH ST</v>
      </c>
      <c r="D216" t="e">
        <f>VLOOKUP(A216,Sector!A:A,1,FALSE)</f>
        <v>#N/A</v>
      </c>
    </row>
    <row r="217" spans="1:4" hidden="1" x14ac:dyDescent="0.3">
      <c r="A217" t="s">
        <v>601</v>
      </c>
      <c r="B217" t="e">
        <f>VLOOKUP(A217,Enrollment!A:A,1,FALSE)</f>
        <v>#N/A</v>
      </c>
      <c r="C217" t="str">
        <f>VLOOKUP(A217,Building!A:A,1,FALSE)</f>
        <v>914 E ATWATER AVE</v>
      </c>
      <c r="D217" t="str">
        <f>VLOOKUP(A217,Sector!A:A,1,FALSE)</f>
        <v>914 E ATWATER AVE</v>
      </c>
    </row>
    <row r="218" spans="1:4" hidden="1" x14ac:dyDescent="0.3">
      <c r="A218" t="s">
        <v>410</v>
      </c>
      <c r="B218" t="e">
        <f>VLOOKUP(A218,Enrollment!A:A,1,FALSE)</f>
        <v>#N/A</v>
      </c>
      <c r="C218" t="str">
        <f>VLOOKUP(A218,Building!A:A,1,FALSE)</f>
        <v>919 E 13TH ST</v>
      </c>
      <c r="D218" t="str">
        <f>VLOOKUP(A218,Sector!A:A,1,FALSE)</f>
        <v>919 E 13TH ST</v>
      </c>
    </row>
    <row r="219" spans="1:4" hidden="1" x14ac:dyDescent="0.3">
      <c r="A219" t="s">
        <v>524</v>
      </c>
      <c r="B219" t="e">
        <f>VLOOKUP(A219,Enrollment!A:A,1,FALSE)</f>
        <v>#N/A</v>
      </c>
      <c r="C219" t="str">
        <f>VLOOKUP(A219,Building!A:A,1,FALSE)</f>
        <v>920 E ATWATER AVE</v>
      </c>
      <c r="D219" t="str">
        <f>VLOOKUP(A219,Sector!A:A,1,FALSE)</f>
        <v>920 E ATWATER AVE</v>
      </c>
    </row>
    <row r="220" spans="1:4" hidden="1" x14ac:dyDescent="0.3">
      <c r="A220" t="s">
        <v>508</v>
      </c>
      <c r="B220" t="e">
        <f>VLOOKUP(A220,Enrollment!A:A,1,FALSE)</f>
        <v>#N/A</v>
      </c>
      <c r="C220" t="str">
        <f>VLOOKUP(A220,Building!A:A,1,FALSE)</f>
        <v>ALF III</v>
      </c>
      <c r="D220" t="str">
        <f>VLOOKUP(A220,Sector!A:A,1,FALSE)</f>
        <v>ALF III</v>
      </c>
    </row>
    <row r="221" spans="1:4" hidden="1" x14ac:dyDescent="0.3">
      <c r="A221" t="s">
        <v>509</v>
      </c>
      <c r="B221" t="e">
        <f>VLOOKUP(A221,Enrollment!A:A,1,FALSE)</f>
        <v>#N/A</v>
      </c>
      <c r="C221" t="str">
        <f>VLOOKUP(A221,Building!A:A,1,FALSE)</f>
        <v>ALF-RUTH LILLY AUXILIARY LIBRARY</v>
      </c>
      <c r="D221" t="str">
        <f>VLOOKUP(A221,Sector!A:A,1,FALSE)</f>
        <v>ALF-RUTH LILLY AUXILIARY LIBRARY</v>
      </c>
    </row>
    <row r="222" spans="1:4" hidden="1" x14ac:dyDescent="0.3">
      <c r="A222" t="s">
        <v>556</v>
      </c>
      <c r="B222" t="e">
        <f>VLOOKUP(A222,Enrollment!A:A,1,FALSE)</f>
        <v>#N/A</v>
      </c>
      <c r="C222" t="str">
        <f>VLOOKUP(A222,Building!A:A,1,FALSE)</f>
        <v>ALPHA CHI OMEGA</v>
      </c>
      <c r="D222" t="e">
        <f>VLOOKUP(A222,Sector!A:A,1,FALSE)</f>
        <v>#N/A</v>
      </c>
    </row>
    <row r="223" spans="1:4" hidden="1" x14ac:dyDescent="0.3">
      <c r="A223" t="s">
        <v>579</v>
      </c>
      <c r="B223" t="e">
        <f>VLOOKUP(A223,Enrollment!A:A,1,FALSE)</f>
        <v>#N/A</v>
      </c>
      <c r="C223" t="str">
        <f>VLOOKUP(A223,Building!A:A,1,FALSE)</f>
        <v>ALPHA DELTA PI</v>
      </c>
      <c r="D223" t="e">
        <f>VLOOKUP(A223,Sector!A:A,1,FALSE)</f>
        <v>#N/A</v>
      </c>
    </row>
    <row r="224" spans="1:4" hidden="1" x14ac:dyDescent="0.3">
      <c r="A224" t="s">
        <v>562</v>
      </c>
      <c r="B224" t="e">
        <f>VLOOKUP(A224,Enrollment!A:A,1,FALSE)</f>
        <v>#N/A</v>
      </c>
      <c r="C224" t="str">
        <f>VLOOKUP(A224,Building!A:A,1,FALSE)</f>
        <v>ALPHA EPSILON PHI</v>
      </c>
      <c r="D224" t="str">
        <f>VLOOKUP(A224,Sector!A:A,1,FALSE)</f>
        <v>ALPHA EPSILON PHI</v>
      </c>
    </row>
    <row r="225" spans="1:4" hidden="1" x14ac:dyDescent="0.3">
      <c r="A225" t="s">
        <v>568</v>
      </c>
      <c r="B225" t="e">
        <f>VLOOKUP(A225,Enrollment!A:A,1,FALSE)</f>
        <v>#N/A</v>
      </c>
      <c r="C225" t="str">
        <f>VLOOKUP(A225,Building!A:A,1,FALSE)</f>
        <v>ALPHA EPSILON PI</v>
      </c>
      <c r="D225" t="e">
        <f>VLOOKUP(A225,Sector!A:A,1,FALSE)</f>
        <v>#N/A</v>
      </c>
    </row>
    <row r="226" spans="1:4" hidden="1" x14ac:dyDescent="0.3">
      <c r="A226" t="s">
        <v>566</v>
      </c>
      <c r="B226" t="e">
        <f>VLOOKUP(A226,Enrollment!A:A,1,FALSE)</f>
        <v>#N/A</v>
      </c>
      <c r="C226" t="str">
        <f>VLOOKUP(A226,Building!A:A,1,FALSE)</f>
        <v>ALPHA GAMMA DELTA</v>
      </c>
      <c r="D226" t="e">
        <f>VLOOKUP(A226,Sector!A:A,1,FALSE)</f>
        <v>#N/A</v>
      </c>
    </row>
    <row r="227" spans="1:4" hidden="1" x14ac:dyDescent="0.3">
      <c r="A227" t="s">
        <v>571</v>
      </c>
      <c r="B227" t="e">
        <f>VLOOKUP(A227,Enrollment!A:A,1,FALSE)</f>
        <v>#N/A</v>
      </c>
      <c r="C227" t="str">
        <f>VLOOKUP(A227,Building!A:A,1,FALSE)</f>
        <v>ALPHA OMICRON PI</v>
      </c>
      <c r="D227" t="e">
        <f>VLOOKUP(A227,Sector!A:A,1,FALSE)</f>
        <v>#N/A</v>
      </c>
    </row>
    <row r="228" spans="1:4" hidden="1" x14ac:dyDescent="0.3">
      <c r="A228" t="s">
        <v>547</v>
      </c>
      <c r="B228" t="e">
        <f>VLOOKUP(A228,Enrollment!A:A,1,FALSE)</f>
        <v>#N/A</v>
      </c>
      <c r="C228" t="str">
        <f>VLOOKUP(A228,Building!A:A,1,FALSE)</f>
        <v>ALPHA PHI</v>
      </c>
      <c r="D228" t="str">
        <f>VLOOKUP(A228,Sector!A:A,1,FALSE)</f>
        <v>ALPHA PHI</v>
      </c>
    </row>
    <row r="229" spans="1:4" hidden="1" x14ac:dyDescent="0.3">
      <c r="A229" t="s">
        <v>575</v>
      </c>
      <c r="B229" t="e">
        <f>VLOOKUP(A229,Enrollment!A:A,1,FALSE)</f>
        <v>#N/A</v>
      </c>
      <c r="C229" t="str">
        <f>VLOOKUP(A229,Building!A:A,1,FALSE)</f>
        <v>ALPHA SIGMA PHI</v>
      </c>
      <c r="D229" t="str">
        <f>VLOOKUP(A229,Sector!A:A,1,FALSE)</f>
        <v>ALPHA SIGMA PHI</v>
      </c>
    </row>
    <row r="230" spans="1:4" hidden="1" x14ac:dyDescent="0.3">
      <c r="A230" t="s">
        <v>577</v>
      </c>
      <c r="B230" t="e">
        <f>VLOOKUP(A230,Enrollment!A:A,1,FALSE)</f>
        <v>#N/A</v>
      </c>
      <c r="C230" t="str">
        <f>VLOOKUP(A230,Building!A:A,1,FALSE)</f>
        <v>ALPHA XI DELTA</v>
      </c>
      <c r="D230" t="e">
        <f>VLOOKUP(A230,Sector!A:A,1,FALSE)</f>
        <v>#N/A</v>
      </c>
    </row>
    <row r="231" spans="1:4" hidden="1" x14ac:dyDescent="0.3">
      <c r="A231" t="s">
        <v>360</v>
      </c>
      <c r="B231" t="e">
        <f>VLOOKUP(A231,Enrollment!A:A,1,FALSE)</f>
        <v>#N/A</v>
      </c>
      <c r="C231" t="str">
        <f>VLOOKUP(A231,Building!A:A,1,FALSE)</f>
        <v>AMERICAN HISTORIANS-RAINTREE HOUSE</v>
      </c>
      <c r="D231" t="str">
        <f>VLOOKUP(A231,Sector!A:A,1,FALSE)</f>
        <v>AMERICAN HISTORIANS-RAINTREE HOUSE</v>
      </c>
    </row>
    <row r="232" spans="1:4" hidden="1" x14ac:dyDescent="0.3">
      <c r="A232" t="s">
        <v>204</v>
      </c>
      <c r="B232" t="e">
        <f>VLOOKUP(A232,Enrollment!A:A,1,FALSE)</f>
        <v>#N/A</v>
      </c>
      <c r="C232" t="str">
        <f>VLOOKUP(A232,Building!A:A,1,FALSE)</f>
        <v>AMERICAN INDIAN STUDIES</v>
      </c>
      <c r="D232" t="str">
        <f>VLOOKUP(A232,Sector!A:A,1,FALSE)</f>
        <v>AMERICAN INDIAN STUDIES</v>
      </c>
    </row>
    <row r="233" spans="1:4" hidden="1" x14ac:dyDescent="0.3">
      <c r="A233" t="s">
        <v>472</v>
      </c>
      <c r="B233" t="e">
        <f>VLOOKUP(A233,Enrollment!A:A,1,FALSE)</f>
        <v>#N/A</v>
      </c>
      <c r="C233" t="str">
        <f>VLOOKUP(A233,Building!A:A,1,FALSE)</f>
        <v>ANDY MOHR FIELD</v>
      </c>
      <c r="D233" t="str">
        <f>VLOOKUP(A233,Sector!A:A,1,FALSE)</f>
        <v>ANDY MOHR FIELD</v>
      </c>
    </row>
    <row r="234" spans="1:4" hidden="1" x14ac:dyDescent="0.3">
      <c r="A234" t="s">
        <v>419</v>
      </c>
      <c r="B234" t="e">
        <f>VLOOKUP(A234,Enrollment!A:A,1,FALSE)</f>
        <v>#N/A</v>
      </c>
      <c r="C234" t="str">
        <f>VLOOKUP(A234,Building!A:A,1,FALSE)</f>
        <v>ANECHOIC LAB</v>
      </c>
      <c r="D234" t="str">
        <f>VLOOKUP(A234,Sector!A:A,1,FALSE)</f>
        <v>ANECHOIC LAB</v>
      </c>
    </row>
    <row r="235" spans="1:4" hidden="1" x14ac:dyDescent="0.3">
      <c r="A235" t="s">
        <v>288</v>
      </c>
      <c r="B235" t="e">
        <f>VLOOKUP(A235,Enrollment!A:A,1,FALSE)</f>
        <v>#N/A</v>
      </c>
      <c r="C235" t="str">
        <f>VLOOKUP(A235,Building!A:A,1,FALSE)</f>
        <v>ARBORETUM</v>
      </c>
      <c r="D235" t="str">
        <f>VLOOKUP(A235,Sector!A:A,1,FALSE)</f>
        <v>ARBORETUM</v>
      </c>
    </row>
    <row r="236" spans="1:4" hidden="1" x14ac:dyDescent="0.3">
      <c r="A236" t="s">
        <v>504</v>
      </c>
      <c r="B236" t="e">
        <f>VLOOKUP(A236,Enrollment!A:A,1,FALSE)</f>
        <v>#N/A</v>
      </c>
      <c r="C236" t="str">
        <f>VLOOKUP(A236,Building!A:A,1,FALSE)</f>
        <v>ARMSTRONG CONCESSIONS/RESTROOMS</v>
      </c>
      <c r="D236" t="str">
        <f>VLOOKUP(A236,Sector!A:A,1,FALSE)</f>
        <v>ARMSTRONG CONCESSIONS/RESTROOMS</v>
      </c>
    </row>
    <row r="237" spans="1:4" hidden="1" x14ac:dyDescent="0.3">
      <c r="A237" t="s">
        <v>503</v>
      </c>
      <c r="B237" t="e">
        <f>VLOOKUP(A237,Enrollment!A:A,1,FALSE)</f>
        <v>#N/A</v>
      </c>
      <c r="C237" t="str">
        <f>VLOOKUP(A237,Building!A:A,1,FALSE)</f>
        <v>ARMSTRONG PRESSBOX</v>
      </c>
      <c r="D237" t="str">
        <f>VLOOKUP(A237,Sector!A:A,1,FALSE)</f>
        <v>ARMSTRONG PRESSBOX</v>
      </c>
    </row>
    <row r="238" spans="1:4" hidden="1" x14ac:dyDescent="0.3">
      <c r="A238" t="s">
        <v>502</v>
      </c>
      <c r="B238" t="e">
        <f>VLOOKUP(A238,Enrollment!A:A,1,FALSE)</f>
        <v>#N/A</v>
      </c>
      <c r="C238" t="str">
        <f>VLOOKUP(A238,Building!A:A,1,FALSE)</f>
        <v>ARMSTRONG STADIUM / TARDY CENTER</v>
      </c>
      <c r="D238" t="e">
        <f>VLOOKUP(A238,Sector!A:A,1,FALSE)</f>
        <v>#N/A</v>
      </c>
    </row>
    <row r="239" spans="1:4" hidden="1" x14ac:dyDescent="0.3">
      <c r="A239" t="s">
        <v>370</v>
      </c>
      <c r="B239" t="e">
        <f>VLOOKUP(A239,Enrollment!A:A,1,FALSE)</f>
        <v>#N/A</v>
      </c>
      <c r="C239" t="str">
        <f>VLOOKUP(A239,Building!A:A,1,FALSE)</f>
        <v>ASIAN CULTURE CENTER</v>
      </c>
      <c r="D239" t="e">
        <f>VLOOKUP(A239,Sector!A:A,1,FALSE)</f>
        <v>#N/A</v>
      </c>
    </row>
    <row r="240" spans="1:4" hidden="1" x14ac:dyDescent="0.3">
      <c r="A240" t="s">
        <v>277</v>
      </c>
      <c r="B240" t="e">
        <f>VLOOKUP(A240,Enrollment!A:A,1,FALSE)</f>
        <v>#N/A</v>
      </c>
      <c r="C240" t="str">
        <f>VLOOKUP(A240,Building!A:A,1,FALSE)</f>
        <v>ATWATER EYE CARE CENTER</v>
      </c>
      <c r="D240" t="str">
        <f>VLOOKUP(A240,Sector!A:A,1,FALSE)</f>
        <v>ATWATER EYE CARE CENTER</v>
      </c>
    </row>
    <row r="241" spans="1:4" hidden="1" x14ac:dyDescent="0.3">
      <c r="A241" t="s">
        <v>279</v>
      </c>
      <c r="B241" t="e">
        <f>VLOOKUP(A241,Enrollment!A:A,1,FALSE)</f>
        <v>#N/A</v>
      </c>
      <c r="C241" t="str">
        <f>VLOOKUP(A241,Building!A:A,1,FALSE)</f>
        <v>ATWATER PARKING</v>
      </c>
      <c r="D241" t="str">
        <f>VLOOKUP(A241,Sector!A:A,1,FALSE)</f>
        <v>ATWATER PARKING</v>
      </c>
    </row>
    <row r="242" spans="1:4" hidden="1" x14ac:dyDescent="0.3">
      <c r="A242" t="s">
        <v>47</v>
      </c>
      <c r="B242" t="str">
        <f>VLOOKUP(A242,Enrollment!A:A,1,FALSE)</f>
        <v>AUDITORIUM</v>
      </c>
      <c r="C242" t="str">
        <f>VLOOKUP(A242,Building!A:A,1,FALSE)</f>
        <v>AUDITORIUM</v>
      </c>
      <c r="D242" t="str">
        <f>VLOOKUP(A242,Sector!A:A,1,FALSE)</f>
        <v>AUDITORIUM</v>
      </c>
    </row>
    <row r="243" spans="1:4" hidden="1" x14ac:dyDescent="0.3">
      <c r="A243" t="s">
        <v>1</v>
      </c>
      <c r="B243" t="str">
        <f>VLOOKUP(A243,Enrollment!A:A,1,FALSE)</f>
        <v>BALLANTINE HALL</v>
      </c>
      <c r="C243" t="str">
        <f>VLOOKUP(A243,Building!A:A,1,FALSE)</f>
        <v>BALLANTINE HALL</v>
      </c>
      <c r="D243" t="e">
        <f>VLOOKUP(A243,Sector!A:A,1,FALSE)</f>
        <v>#N/A</v>
      </c>
    </row>
    <row r="244" spans="1:4" hidden="1" x14ac:dyDescent="0.3">
      <c r="A244" t="s">
        <v>326</v>
      </c>
      <c r="B244" t="e">
        <f>VLOOKUP(A244,Enrollment!A:A,1,FALSE)</f>
        <v>#N/A</v>
      </c>
      <c r="C244" t="str">
        <f>VLOOKUP(A244,Building!A:A,1,FALSE)</f>
        <v>BARNES LOUNGE</v>
      </c>
      <c r="D244" t="str">
        <f>VLOOKUP(A244,Sector!A:A,1,FALSE)</f>
        <v>BARNES LOUNGE</v>
      </c>
    </row>
    <row r="245" spans="1:4" hidden="1" x14ac:dyDescent="0.3">
      <c r="A245" t="s">
        <v>471</v>
      </c>
      <c r="B245" t="e">
        <f>VLOOKUP(A245,Enrollment!A:A,1,FALSE)</f>
        <v>#N/A</v>
      </c>
      <c r="C245" t="str">
        <f>VLOOKUP(A245,Building!A:A,1,FALSE)</f>
        <v>BART KAUFMAN FIELD</v>
      </c>
      <c r="D245" t="str">
        <f>VLOOKUP(A245,Sector!A:A,1,FALSE)</f>
        <v>BART KAUFMAN FIELD</v>
      </c>
    </row>
    <row r="246" spans="1:4" hidden="1" x14ac:dyDescent="0.3">
      <c r="A246" t="s">
        <v>281</v>
      </c>
      <c r="B246" t="e">
        <f>VLOOKUP(A246,Enrollment!A:A,1,FALSE)</f>
        <v>#N/A</v>
      </c>
      <c r="C246" t="str">
        <f>VLOOKUP(A246,Building!A:A,1,FALSE)</f>
        <v>BECK CHAPEL</v>
      </c>
      <c r="D246" t="str">
        <f>VLOOKUP(A246,Sector!A:A,1,FALSE)</f>
        <v>BECK CHAPEL</v>
      </c>
    </row>
    <row r="247" spans="1:4" hidden="1" x14ac:dyDescent="0.3">
      <c r="A247" t="s">
        <v>319</v>
      </c>
      <c r="B247" t="e">
        <f>VLOOKUP(A247,Enrollment!A:A,1,FALSE)</f>
        <v>#N/A</v>
      </c>
      <c r="C247" t="str">
        <f>VLOOKUP(A247,Building!A:A,1,FALSE)</f>
        <v>BEECH HALL</v>
      </c>
      <c r="D247" t="str">
        <f>VLOOKUP(A247,Sector!A:A,1,FALSE)</f>
        <v>BEECH HALL</v>
      </c>
    </row>
    <row r="248" spans="1:4" hidden="1" x14ac:dyDescent="0.3">
      <c r="A248" t="s">
        <v>420</v>
      </c>
      <c r="B248" t="e">
        <f>VLOOKUP(A248,Enrollment!A:A,1,FALSE)</f>
        <v>#N/A</v>
      </c>
      <c r="C248" t="str">
        <f>VLOOKUP(A248,Building!A:A,1,FALSE)</f>
        <v>BEHAVIOR LAB</v>
      </c>
      <c r="D248" t="str">
        <f>VLOOKUP(A248,Sector!A:A,1,FALSE)</f>
        <v>BEHAVIOR LAB</v>
      </c>
    </row>
    <row r="249" spans="1:4" hidden="1" x14ac:dyDescent="0.3">
      <c r="A249" t="s">
        <v>602</v>
      </c>
      <c r="B249" t="e">
        <f>VLOOKUP(A249,Enrollment!A:A,1,FALSE)</f>
        <v>#N/A</v>
      </c>
      <c r="C249" t="str">
        <f>VLOOKUP(A249,Building!A:A,1,FALSE)</f>
        <v>BETA SIGMA PSI</v>
      </c>
      <c r="D249" t="str">
        <f>VLOOKUP(A249,Sector!A:A,1,FALSE)</f>
        <v>BETA SIGMA PSI</v>
      </c>
    </row>
    <row r="250" spans="1:4" hidden="1" x14ac:dyDescent="0.3">
      <c r="A250" t="s">
        <v>560</v>
      </c>
      <c r="B250" t="e">
        <f>VLOOKUP(A250,Enrollment!A:A,1,FALSE)</f>
        <v>#N/A</v>
      </c>
      <c r="C250" t="str">
        <f>VLOOKUP(A250,Building!A:A,1,FALSE)</f>
        <v>BETA THETA PI</v>
      </c>
      <c r="D250" t="e">
        <f>VLOOKUP(A250,Sector!A:A,1,FALSE)</f>
        <v>#N/A</v>
      </c>
    </row>
    <row r="251" spans="1:4" hidden="1" x14ac:dyDescent="0.3">
      <c r="A251" t="s">
        <v>296</v>
      </c>
      <c r="B251" t="e">
        <f>VLOOKUP(A251,Enrollment!A:A,1,FALSE)</f>
        <v>#N/A</v>
      </c>
      <c r="C251" t="str">
        <f>VLOOKUP(A251,Building!A:A,1,FALSE)</f>
        <v>BICENTENNIAL CARILLON</v>
      </c>
      <c r="D251" t="str">
        <f>VLOOKUP(A251,Sector!A:A,1,FALSE)</f>
        <v>BICENTENNIAL CARILLON</v>
      </c>
    </row>
    <row r="252" spans="1:4" hidden="1" x14ac:dyDescent="0.3">
      <c r="A252" t="s">
        <v>48</v>
      </c>
      <c r="B252" t="str">
        <f>VLOOKUP(A252,Enrollment!A:A,1,FALSE)</f>
        <v>BILL GARRETT FIELDHOUSE</v>
      </c>
      <c r="C252" t="str">
        <f>VLOOKUP(A252,Building!A:A,1,FALSE)</f>
        <v>BILL GARRETT FIELDHOUSE</v>
      </c>
      <c r="D252" t="str">
        <f>VLOOKUP(A252,Sector!A:A,1,FALSE)</f>
        <v>BILL GARRETT FIELDHOUSE</v>
      </c>
    </row>
    <row r="253" spans="1:4" hidden="1" x14ac:dyDescent="0.3">
      <c r="A253" t="s">
        <v>49</v>
      </c>
      <c r="B253" t="str">
        <f>VLOOKUP(A253,Enrollment!A:A,1,FALSE)</f>
        <v>BIOLOGY BUILDING</v>
      </c>
      <c r="C253" t="str">
        <f>VLOOKUP(A253,Building!A:A,1,FALSE)</f>
        <v>BIOLOGY BUILDING</v>
      </c>
      <c r="D253" t="str">
        <f>VLOOKUP(A253,Sector!A:A,1,FALSE)</f>
        <v>BIOLOGY BUILDING</v>
      </c>
    </row>
    <row r="254" spans="1:4" hidden="1" x14ac:dyDescent="0.3">
      <c r="A254" t="s">
        <v>316</v>
      </c>
      <c r="B254" t="e">
        <f>VLOOKUP(A254,Enrollment!A:A,1,FALSE)</f>
        <v>#N/A</v>
      </c>
      <c r="C254" t="str">
        <f>VLOOKUP(A254,Building!A:A,1,FALSE)</f>
        <v>BIRCH HALL</v>
      </c>
      <c r="D254" t="str">
        <f>VLOOKUP(A254,Sector!A:A,1,FALSE)</f>
        <v>BIRCH HALL</v>
      </c>
    </row>
    <row r="255" spans="1:4" hidden="1" x14ac:dyDescent="0.3">
      <c r="A255" t="s">
        <v>451</v>
      </c>
      <c r="B255" t="e">
        <f>VLOOKUP(A255,Enrollment!A:A,1,FALSE)</f>
        <v>#N/A</v>
      </c>
      <c r="C255" t="str">
        <f>VLOOKUP(A255,Building!A:A,1,FALSE)</f>
        <v>BOTANY FIELD GREENHOUSE</v>
      </c>
      <c r="D255" t="e">
        <f>VLOOKUP(A255,Sector!A:A,1,FALSE)</f>
        <v>#N/A</v>
      </c>
    </row>
    <row r="256" spans="1:4" hidden="1" x14ac:dyDescent="0.3">
      <c r="A256" t="s">
        <v>447</v>
      </c>
      <c r="B256" t="e">
        <f>VLOOKUP(A256,Enrollment!A:A,1,FALSE)</f>
        <v>#N/A</v>
      </c>
      <c r="C256" t="str">
        <f>VLOOKUP(A256,Building!A:A,1,FALSE)</f>
        <v>BOTANY GREENHOUSE</v>
      </c>
      <c r="D256" t="str">
        <f>VLOOKUP(A256,Sector!A:A,1,FALSE)</f>
        <v>BOTANY GREENHOUSE</v>
      </c>
    </row>
    <row r="257" spans="1:4" hidden="1" x14ac:dyDescent="0.3">
      <c r="A257" t="s">
        <v>539</v>
      </c>
      <c r="B257" t="e">
        <f>VLOOKUP(A257,Enrollment!A:A,1,FALSE)</f>
        <v>#N/A</v>
      </c>
      <c r="C257" t="str">
        <f>VLOOKUP(A257,Building!A:A,1,FALSE)</f>
        <v>BRADLEY EDUCATION CENTER (MORTON C.)</v>
      </c>
      <c r="D257" t="str">
        <f>VLOOKUP(A257,Sector!A:A,1,FALSE)</f>
        <v>BRADLEY EDUCATION CENTER (MORTON C.)</v>
      </c>
    </row>
    <row r="258" spans="1:4" hidden="1" x14ac:dyDescent="0.3">
      <c r="A258" t="s">
        <v>51</v>
      </c>
      <c r="B258" t="str">
        <f>VLOOKUP(A258,Enrollment!A:A,1,FALSE)</f>
        <v>BRISCOE QUAD</v>
      </c>
      <c r="C258" t="str">
        <f>VLOOKUP(A258,Building!A:A,1,FALSE)</f>
        <v>BRISCOE QUAD</v>
      </c>
      <c r="D258" t="str">
        <f>VLOOKUP(A258,Sector!A:A,1,FALSE)</f>
        <v>BRISCOE QUAD</v>
      </c>
    </row>
    <row r="259" spans="1:4" hidden="1" x14ac:dyDescent="0.3">
      <c r="A259" t="s">
        <v>187</v>
      </c>
      <c r="B259" t="e">
        <f>VLOOKUP(A259,Enrollment!A:A,1,FALSE)</f>
        <v>#N/A</v>
      </c>
      <c r="C259" t="str">
        <f>VLOOKUP(A259,Building!A:A,1,FALSE)</f>
        <v>BRYAN HALL</v>
      </c>
      <c r="D259" t="str">
        <f>VLOOKUP(A259,Sector!A:A,1,FALSE)</f>
        <v>BRYAN HALL</v>
      </c>
    </row>
    <row r="260" spans="1:4" hidden="1" x14ac:dyDescent="0.3">
      <c r="A260" t="s">
        <v>284</v>
      </c>
      <c r="B260" t="e">
        <f>VLOOKUP(A260,Enrollment!A:A,1,FALSE)</f>
        <v>#N/A</v>
      </c>
      <c r="C260" t="str">
        <f>VLOOKUP(A260,Building!A:A,1,FALSE)</f>
        <v>BRYAN HOUSE</v>
      </c>
      <c r="D260" t="e">
        <f>VLOOKUP(A260,Sector!A:A,1,FALSE)</f>
        <v>#N/A</v>
      </c>
    </row>
    <row r="261" spans="1:4" hidden="1" x14ac:dyDescent="0.3">
      <c r="A261" t="s">
        <v>626</v>
      </c>
      <c r="B261" t="e">
        <f>VLOOKUP(A261,Enrollment!A:A,1,FALSE)</f>
        <v>#N/A</v>
      </c>
      <c r="C261" t="str">
        <f>VLOOKUP(A261,Building!A:A,1,FALSE)</f>
        <v>BUILDING A</v>
      </c>
      <c r="D261" t="e">
        <f>VLOOKUP(A261,Sector!A:A,1,FALSE)</f>
        <v>#N/A</v>
      </c>
    </row>
    <row r="262" spans="1:4" hidden="1" x14ac:dyDescent="0.3">
      <c r="A262" t="s">
        <v>620</v>
      </c>
      <c r="B262" t="e">
        <f>VLOOKUP(A262,Enrollment!A:A,1,FALSE)</f>
        <v>#N/A</v>
      </c>
      <c r="C262" t="str">
        <f>VLOOKUP(A262,Building!A:A,1,FALSE)</f>
        <v>BUILDING B</v>
      </c>
      <c r="D262" t="e">
        <f>VLOOKUP(A262,Sector!A:A,1,FALSE)</f>
        <v>#N/A</v>
      </c>
    </row>
    <row r="263" spans="1:4" hidden="1" x14ac:dyDescent="0.3">
      <c r="A263" t="s">
        <v>616</v>
      </c>
      <c r="B263" t="e">
        <f>VLOOKUP(A263,Enrollment!A:A,1,FALSE)</f>
        <v>#N/A</v>
      </c>
      <c r="C263" t="str">
        <f>VLOOKUP(A263,Building!A:A,1,FALSE)</f>
        <v>BUILDING C</v>
      </c>
      <c r="D263" t="e">
        <f>VLOOKUP(A263,Sector!A:A,1,FALSE)</f>
        <v>#N/A</v>
      </c>
    </row>
    <row r="264" spans="1:4" hidden="1" x14ac:dyDescent="0.3">
      <c r="A264" t="s">
        <v>617</v>
      </c>
      <c r="B264" t="e">
        <f>VLOOKUP(A264,Enrollment!A:A,1,FALSE)</f>
        <v>#N/A</v>
      </c>
      <c r="C264" t="str">
        <f>VLOOKUP(A264,Building!A:A,1,FALSE)</f>
        <v>BUILDING D</v>
      </c>
      <c r="D264" t="e">
        <f>VLOOKUP(A264,Sector!A:A,1,FALSE)</f>
        <v>#N/A</v>
      </c>
    </row>
    <row r="265" spans="1:4" hidden="1" x14ac:dyDescent="0.3">
      <c r="A265" t="s">
        <v>621</v>
      </c>
      <c r="B265" t="e">
        <f>VLOOKUP(A265,Enrollment!A:A,1,FALSE)</f>
        <v>#N/A</v>
      </c>
      <c r="C265" t="str">
        <f>VLOOKUP(A265,Building!A:A,1,FALSE)</f>
        <v>BUILDING E</v>
      </c>
      <c r="D265" t="e">
        <f>VLOOKUP(A265,Sector!A:A,1,FALSE)</f>
        <v>#N/A</v>
      </c>
    </row>
    <row r="266" spans="1:4" hidden="1" x14ac:dyDescent="0.3">
      <c r="A266" t="s">
        <v>622</v>
      </c>
      <c r="B266" t="e">
        <f>VLOOKUP(A266,Enrollment!A:A,1,FALSE)</f>
        <v>#N/A</v>
      </c>
      <c r="C266" t="str">
        <f>VLOOKUP(A266,Building!A:A,1,FALSE)</f>
        <v>BUILDING F</v>
      </c>
      <c r="D266" t="e">
        <f>VLOOKUP(A266,Sector!A:A,1,FALSE)</f>
        <v>#N/A</v>
      </c>
    </row>
    <row r="267" spans="1:4" hidden="1" x14ac:dyDescent="0.3">
      <c r="A267" t="s">
        <v>623</v>
      </c>
      <c r="B267" t="e">
        <f>VLOOKUP(A267,Enrollment!A:A,1,FALSE)</f>
        <v>#N/A</v>
      </c>
      <c r="C267" t="str">
        <f>VLOOKUP(A267,Building!A:A,1,FALSE)</f>
        <v>BUILDING G</v>
      </c>
      <c r="D267" t="e">
        <f>VLOOKUP(A267,Sector!A:A,1,FALSE)</f>
        <v>#N/A</v>
      </c>
    </row>
    <row r="268" spans="1:4" hidden="1" x14ac:dyDescent="0.3">
      <c r="A268" t="s">
        <v>624</v>
      </c>
      <c r="B268" t="e">
        <f>VLOOKUP(A268,Enrollment!A:A,1,FALSE)</f>
        <v>#N/A</v>
      </c>
      <c r="C268" t="str">
        <f>VLOOKUP(A268,Building!A:A,1,FALSE)</f>
        <v>BUILDING H</v>
      </c>
      <c r="D268" t="e">
        <f>VLOOKUP(A268,Sector!A:A,1,FALSE)</f>
        <v>#N/A</v>
      </c>
    </row>
    <row r="269" spans="1:4" hidden="1" x14ac:dyDescent="0.3">
      <c r="A269" t="s">
        <v>625</v>
      </c>
      <c r="B269" t="e">
        <f>VLOOKUP(A269,Enrollment!A:A,1,FALSE)</f>
        <v>#N/A</v>
      </c>
      <c r="C269" t="str">
        <f>VLOOKUP(A269,Building!A:A,1,FALSE)</f>
        <v>BUILDING I</v>
      </c>
      <c r="D269" t="e">
        <f>VLOOKUP(A269,Sector!A:A,1,FALSE)</f>
        <v>#N/A</v>
      </c>
    </row>
    <row r="270" spans="1:4" hidden="1" x14ac:dyDescent="0.3">
      <c r="A270" t="s">
        <v>446</v>
      </c>
      <c r="B270" t="e">
        <f>VLOOKUP(A270,Enrollment!A:A,1,FALSE)</f>
        <v>#N/A</v>
      </c>
      <c r="C270" t="str">
        <f>VLOOKUP(A270,Building!A:A,1,FALSE)</f>
        <v>CAMPUS VIEW APARTMENTS</v>
      </c>
      <c r="D270" t="str">
        <f>VLOOKUP(A270,Sector!A:A,1,FALSE)</f>
        <v>CAMPUS VIEW APARTMENTS</v>
      </c>
    </row>
    <row r="271" spans="1:4" hidden="1" x14ac:dyDescent="0.3">
      <c r="A271" t="s">
        <v>188</v>
      </c>
      <c r="B271" t="e">
        <f>VLOOKUP(A271,Enrollment!A:A,1,FALSE)</f>
        <v>#N/A</v>
      </c>
      <c r="C271" t="str">
        <f>VLOOKUP(A271,Building!A:A,1,FALSE)</f>
        <v>CARMICHAEL CENTER</v>
      </c>
      <c r="D271" t="str">
        <f>VLOOKUP(A271,Sector!A:A,1,FALSE)</f>
        <v>CARMICHAEL CENTER</v>
      </c>
    </row>
    <row r="272" spans="1:4" hidden="1" x14ac:dyDescent="0.3">
      <c r="A272" t="s">
        <v>52</v>
      </c>
      <c r="B272" t="str">
        <f>VLOOKUP(A272,Enrollment!A:A,1,FALSE)</f>
        <v>CEDAR HALL</v>
      </c>
      <c r="C272" t="str">
        <f>VLOOKUP(A272,Building!A:A,1,FALSE)</f>
        <v>CEDAR HALL</v>
      </c>
      <c r="D272" t="str">
        <f>VLOOKUP(A272,Sector!A:A,1,FALSE)</f>
        <v>CEDAR HALL</v>
      </c>
    </row>
    <row r="273" spans="1:4" hidden="1" x14ac:dyDescent="0.3">
      <c r="A273" t="s">
        <v>431</v>
      </c>
      <c r="B273" t="e">
        <f>VLOOKUP(A273,Enrollment!A:A,1,FALSE)</f>
        <v>#N/A</v>
      </c>
      <c r="C273" t="str">
        <f>VLOOKUP(A273,Building!A:A,1,FALSE)</f>
        <v>CENTRAL HEATING PLANT</v>
      </c>
      <c r="D273" t="str">
        <f>VLOOKUP(A273,Sector!A:A,1,FALSE)</f>
        <v>CENTRAL HEATING PLANT</v>
      </c>
    </row>
    <row r="274" spans="1:4" hidden="1" x14ac:dyDescent="0.3">
      <c r="A274" t="s">
        <v>53</v>
      </c>
      <c r="B274" t="str">
        <f>VLOOKUP(A274,Enrollment!A:A,1,FALSE)</f>
        <v>CHEMISTRY</v>
      </c>
      <c r="C274" t="str">
        <f>VLOOKUP(A274,Building!A:A,1,FALSE)</f>
        <v>CHEMISTRY</v>
      </c>
      <c r="D274" t="str">
        <f>VLOOKUP(A274,Sector!A:A,1,FALSE)</f>
        <v>CHEMISTRY</v>
      </c>
    </row>
    <row r="275" spans="1:4" hidden="1" x14ac:dyDescent="0.3">
      <c r="A275" t="s">
        <v>54</v>
      </c>
      <c r="B275" t="str">
        <f>VLOOKUP(A275,Enrollment!A:A,1,FALSE)</f>
        <v>CHEMISTRY ADDITION</v>
      </c>
      <c r="C275" t="str">
        <f>VLOOKUP(A275,Building!A:A,1,FALSE)</f>
        <v>CHEMISTRY ADDITION</v>
      </c>
      <c r="D275" t="e">
        <f>VLOOKUP(A275,Sector!A:A,1,FALSE)</f>
        <v>#N/A</v>
      </c>
    </row>
    <row r="276" spans="1:4" hidden="1" x14ac:dyDescent="0.3">
      <c r="A276" t="s">
        <v>429</v>
      </c>
      <c r="B276" t="e">
        <f>VLOOKUP(A276,Enrollment!A:A,1,FALSE)</f>
        <v>#N/A</v>
      </c>
      <c r="C276" t="str">
        <f>VLOOKUP(A276,Building!A:A,1,FALSE)</f>
        <v>CHESTNUT C &amp; D</v>
      </c>
      <c r="D276" t="str">
        <f>VLOOKUP(A276,Sector!A:A,1,FALSE)</f>
        <v>CHESTNUT C &amp; D</v>
      </c>
    </row>
    <row r="277" spans="1:4" hidden="1" x14ac:dyDescent="0.3">
      <c r="A277" t="s">
        <v>569</v>
      </c>
      <c r="B277" t="e">
        <f>VLOOKUP(A277,Enrollment!A:A,1,FALSE)</f>
        <v>#N/A</v>
      </c>
      <c r="C277" t="str">
        <f>VLOOKUP(A277,Building!A:A,1,FALSE)</f>
        <v>CHI OMEGA</v>
      </c>
      <c r="D277" t="e">
        <f>VLOOKUP(A277,Sector!A:A,1,FALSE)</f>
        <v>#N/A</v>
      </c>
    </row>
    <row r="278" spans="1:4" hidden="1" x14ac:dyDescent="0.3">
      <c r="A278" t="s">
        <v>600</v>
      </c>
      <c r="B278" t="e">
        <f>VLOOKUP(A278,Enrollment!A:A,1,FALSE)</f>
        <v>#N/A</v>
      </c>
      <c r="C278" t="str">
        <f>VLOOKUP(A278,Building!A:A,1,FALSE)</f>
        <v>CHI PHI</v>
      </c>
      <c r="D278" t="str">
        <f>VLOOKUP(A278,Sector!A:A,1,FALSE)</f>
        <v>CHI PHI</v>
      </c>
    </row>
    <row r="279" spans="1:4" hidden="1" x14ac:dyDescent="0.3">
      <c r="A279" t="s">
        <v>466</v>
      </c>
      <c r="B279" t="e">
        <f>VLOOKUP(A279,Enrollment!A:A,1,FALSE)</f>
        <v>#N/A</v>
      </c>
      <c r="C279" t="str">
        <f>VLOOKUP(A279,Building!A:A,1,FALSE)</f>
        <v>CHILDRENS CENTER</v>
      </c>
      <c r="D279" t="str">
        <f>VLOOKUP(A279,Sector!A:A,1,FALSE)</f>
        <v>CHILDRENS CENTER</v>
      </c>
    </row>
    <row r="280" spans="1:4" hidden="1" x14ac:dyDescent="0.3">
      <c r="A280" t="s">
        <v>417</v>
      </c>
      <c r="B280" t="e">
        <f>VLOOKUP(A280,Enrollment!A:A,1,FALSE)</f>
        <v>#N/A</v>
      </c>
      <c r="C280" t="str">
        <f>VLOOKUP(A280,Building!A:A,1,FALSE)</f>
        <v>CHILLED WATER PLANT</v>
      </c>
      <c r="D280" t="str">
        <f>VLOOKUP(A280,Sector!A:A,1,FALSE)</f>
        <v>CHILLED WATER PLANT</v>
      </c>
    </row>
    <row r="281" spans="1:4" hidden="1" x14ac:dyDescent="0.3">
      <c r="A281" t="s">
        <v>578</v>
      </c>
      <c r="B281" t="e">
        <f>VLOOKUP(A281,Enrollment!A:A,1,FALSE)</f>
        <v>#N/A</v>
      </c>
      <c r="C281" t="str">
        <f>VLOOKUP(A281,Building!A:A,1,FALSE)</f>
        <v>CHRISTIAN STUDENT FELLOWSHIP</v>
      </c>
      <c r="D281" t="e">
        <f>VLOOKUP(A281,Sector!A:A,1,FALSE)</f>
        <v>#N/A</v>
      </c>
    </row>
    <row r="282" spans="1:4" hidden="1" x14ac:dyDescent="0.3">
      <c r="A282" t="s">
        <v>505</v>
      </c>
      <c r="B282" t="e">
        <f>VLOOKUP(A282,Enrollment!A:A,1,FALSE)</f>
        <v>#N/A</v>
      </c>
      <c r="C282" t="str">
        <f>VLOOKUP(A282,Building!A:A,1,FALSE)</f>
        <v>CIRCLE OF CHAMPIONS</v>
      </c>
      <c r="D282" t="str">
        <f>VLOOKUP(A282,Sector!A:A,1,FALSE)</f>
        <v>CIRCLE OF CHAMPIONS</v>
      </c>
    </row>
    <row r="283" spans="1:4" hidden="1" x14ac:dyDescent="0.3">
      <c r="A283" t="s">
        <v>55</v>
      </c>
      <c r="B283" t="str">
        <f>VLOOKUP(A283,Enrollment!A:A,1,FALSE)</f>
        <v>CLASSROOM-OFFICE BUILDING</v>
      </c>
      <c r="C283" t="str">
        <f>VLOOKUP(A283,Building!A:A,1,FALSE)</f>
        <v>CLASSROOM-OFFICE BUILDING</v>
      </c>
      <c r="D283" t="str">
        <f>VLOOKUP(A283,Sector!A:A,1,FALSE)</f>
        <v>CLASSROOM-OFFICE BUILDING</v>
      </c>
    </row>
    <row r="284" spans="1:4" hidden="1" x14ac:dyDescent="0.3">
      <c r="A284" t="s">
        <v>586</v>
      </c>
      <c r="B284" t="e">
        <f>VLOOKUP(A284,Enrollment!A:A,1,FALSE)</f>
        <v>#N/A</v>
      </c>
      <c r="C284" t="str">
        <f>VLOOKUP(A284,Building!A:A,1,FALSE)</f>
        <v>CONRAD PREBYS AMPHITHEATER</v>
      </c>
      <c r="D284" t="e">
        <f>VLOOKUP(A284,Sector!A:A,1,FALSE)</f>
        <v>#N/A</v>
      </c>
    </row>
    <row r="285" spans="1:4" hidden="1" x14ac:dyDescent="0.3">
      <c r="A285" t="s">
        <v>493</v>
      </c>
      <c r="B285" t="e">
        <f>VLOOKUP(A285,Enrollment!A:A,1,FALSE)</f>
        <v>#N/A</v>
      </c>
      <c r="C285" t="str">
        <f>VLOOKUP(A285,Building!A:A,1,FALSE)</f>
        <v>COOK HALL</v>
      </c>
      <c r="D285" t="str">
        <f>VLOOKUP(A285,Sector!A:A,1,FALSE)</f>
        <v>COOK HALL</v>
      </c>
    </row>
    <row r="286" spans="1:4" hidden="1" x14ac:dyDescent="0.3">
      <c r="A286" t="s">
        <v>262</v>
      </c>
      <c r="B286" t="e">
        <f>VLOOKUP(A286,Enrollment!A:A,1,FALSE)</f>
        <v>#N/A</v>
      </c>
      <c r="C286" t="str">
        <f>VLOOKUP(A286,Building!A:A,1,FALSE)</f>
        <v>CRAVENS HALL</v>
      </c>
      <c r="D286" t="e">
        <f>VLOOKUP(A286,Sector!A:A,1,FALSE)</f>
        <v>#N/A</v>
      </c>
    </row>
    <row r="287" spans="1:4" hidden="1" x14ac:dyDescent="0.3">
      <c r="A287" t="s">
        <v>191</v>
      </c>
      <c r="B287" t="e">
        <f>VLOOKUP(A287,Enrollment!A:A,1,FALSE)</f>
        <v>#N/A</v>
      </c>
      <c r="C287" t="str">
        <f>VLOOKUP(A287,Building!A:A,1,FALSE)</f>
        <v>CTR REP GOVERNMENT</v>
      </c>
      <c r="D287" t="str">
        <f>VLOOKUP(A287,Sector!A:A,1,FALSE)</f>
        <v>CTR REP GOVERNMENT</v>
      </c>
    </row>
    <row r="288" spans="1:4" hidden="1" x14ac:dyDescent="0.3">
      <c r="A288" t="s">
        <v>468</v>
      </c>
      <c r="B288" t="e">
        <f>VLOOKUP(A288,Enrollment!A:A,1,FALSE)</f>
        <v>#N/A</v>
      </c>
      <c r="C288" t="str">
        <f>VLOOKUP(A288,Building!A:A,1,FALSE)</f>
        <v>CYBERINFRASTRUCTURE BLDG (CIB)</v>
      </c>
      <c r="D288" t="str">
        <f>VLOOKUP(A288,Sector!A:A,1,FALSE)</f>
        <v>CYBERINFRASTRUCTURE BLDG (CIB)</v>
      </c>
    </row>
    <row r="289" spans="1:4" hidden="1" x14ac:dyDescent="0.3">
      <c r="A289" t="s">
        <v>318</v>
      </c>
      <c r="B289" t="e">
        <f>VLOOKUP(A289,Enrollment!A:A,1,FALSE)</f>
        <v>#N/A</v>
      </c>
      <c r="C289" t="str">
        <f>VLOOKUP(A289,Building!A:A,1,FALSE)</f>
        <v>CYPRESS HALL</v>
      </c>
      <c r="D289" t="e">
        <f>VLOOKUP(A289,Sector!A:A,1,FALSE)</f>
        <v>#N/A</v>
      </c>
    </row>
    <row r="290" spans="1:4" hidden="1" x14ac:dyDescent="0.3">
      <c r="A290" t="s">
        <v>469</v>
      </c>
      <c r="B290" t="e">
        <f>VLOOKUP(A290,Enrollment!A:A,1,FALSE)</f>
        <v>#N/A</v>
      </c>
      <c r="C290" t="str">
        <f>VLOOKUP(A290,Building!A:A,1,FALSE)</f>
        <v>DATA CENTER</v>
      </c>
      <c r="D290" t="str">
        <f>VLOOKUP(A290,Sector!A:A,1,FALSE)</f>
        <v>DATA CENTER</v>
      </c>
    </row>
    <row r="291" spans="1:4" hidden="1" x14ac:dyDescent="0.3">
      <c r="A291" t="s">
        <v>552</v>
      </c>
      <c r="B291" t="e">
        <f>VLOOKUP(A291,Enrollment!A:A,1,FALSE)</f>
        <v>#N/A</v>
      </c>
      <c r="C291" t="str">
        <f>VLOOKUP(A291,Building!A:A,1,FALSE)</f>
        <v>DELTA GAMMA</v>
      </c>
      <c r="D291" t="str">
        <f>VLOOKUP(A291,Sector!A:A,1,FALSE)</f>
        <v>DELTA GAMMA</v>
      </c>
    </row>
    <row r="292" spans="1:4" hidden="1" x14ac:dyDescent="0.3">
      <c r="A292" t="s">
        <v>546</v>
      </c>
      <c r="B292" t="e">
        <f>VLOOKUP(A292,Enrollment!A:A,1,FALSE)</f>
        <v>#N/A</v>
      </c>
      <c r="C292" t="str">
        <f>VLOOKUP(A292,Building!A:A,1,FALSE)</f>
        <v>DELTA PHI EPSILON</v>
      </c>
      <c r="D292" t="str">
        <f>VLOOKUP(A292,Sector!A:A,1,FALSE)</f>
        <v>DELTA PHI EPSILON</v>
      </c>
    </row>
    <row r="293" spans="1:4" hidden="1" x14ac:dyDescent="0.3">
      <c r="A293" t="s">
        <v>596</v>
      </c>
      <c r="B293" t="e">
        <f>VLOOKUP(A293,Enrollment!A:A,1,FALSE)</f>
        <v>#N/A</v>
      </c>
      <c r="C293" t="str">
        <f>VLOOKUP(A293,Building!A:A,1,FALSE)</f>
        <v>DELTA TAU DELTA</v>
      </c>
      <c r="D293" t="str">
        <f>VLOOKUP(A293,Sector!A:A,1,FALSE)</f>
        <v>DELTA TAU DELTA</v>
      </c>
    </row>
    <row r="294" spans="1:4" hidden="1" x14ac:dyDescent="0.3">
      <c r="A294" t="s">
        <v>550</v>
      </c>
      <c r="B294" t="e">
        <f>VLOOKUP(A294,Enrollment!A:A,1,FALSE)</f>
        <v>#N/A</v>
      </c>
      <c r="C294" t="str">
        <f>VLOOKUP(A294,Building!A:A,1,FALSE)</f>
        <v>DELTA UPSILON</v>
      </c>
      <c r="D294" t="str">
        <f>VLOOKUP(A294,Sector!A:A,1,FALSE)</f>
        <v>DELTA UPSILON</v>
      </c>
    </row>
    <row r="295" spans="1:4" hidden="1" x14ac:dyDescent="0.3">
      <c r="A295" t="s">
        <v>573</v>
      </c>
      <c r="B295" t="e">
        <f>VLOOKUP(A295,Enrollment!A:A,1,FALSE)</f>
        <v>#N/A</v>
      </c>
      <c r="C295" t="str">
        <f>VLOOKUP(A295,Building!A:A,1,FALSE)</f>
        <v>DELTA ZETA</v>
      </c>
      <c r="D295" t="e">
        <f>VLOOKUP(A295,Sector!A:A,1,FALSE)</f>
        <v>#N/A</v>
      </c>
    </row>
    <row r="296" spans="1:4" hidden="1" x14ac:dyDescent="0.3">
      <c r="A296" t="s">
        <v>403</v>
      </c>
      <c r="B296" t="e">
        <f>VLOOKUP(A296,Enrollment!A:A,1,FALSE)</f>
        <v>#N/A</v>
      </c>
      <c r="C296" t="str">
        <f>VLOOKUP(A296,Building!A:A,1,FALSE)</f>
        <v>DEVAULT ALUMNI CENTER</v>
      </c>
      <c r="D296" t="str">
        <f>VLOOKUP(A296,Sector!A:A,1,FALSE)</f>
        <v>DEVAULT ALUMNI CENTER</v>
      </c>
    </row>
    <row r="297" spans="1:4" hidden="1" x14ac:dyDescent="0.3">
      <c r="A297" t="s">
        <v>470</v>
      </c>
      <c r="B297" t="e">
        <f>VLOOKUP(A297,Enrollment!A:A,1,FALSE)</f>
        <v>#N/A</v>
      </c>
      <c r="C297" t="str">
        <f>VLOOKUP(A297,Building!A:A,1,FALSE)</f>
        <v>DISABILITY &amp; COMMUNITY</v>
      </c>
      <c r="D297" t="str">
        <f>VLOOKUP(A297,Sector!A:A,1,FALSE)</f>
        <v>DISABILITY &amp; COMMUNITY</v>
      </c>
    </row>
    <row r="298" spans="1:4" hidden="1" x14ac:dyDescent="0.3">
      <c r="A298" t="s">
        <v>324</v>
      </c>
      <c r="B298" t="e">
        <f>VLOOKUP(A298,Enrollment!A:A,1,FALSE)</f>
        <v>#N/A</v>
      </c>
      <c r="C298" t="str">
        <f>VLOOKUP(A298,Building!A:A,1,FALSE)</f>
        <v>DREISER HALL</v>
      </c>
      <c r="D298" t="e">
        <f>VLOOKUP(A298,Sector!A:A,1,FALSE)</f>
        <v>#N/A</v>
      </c>
    </row>
    <row r="299" spans="1:4" hidden="1" x14ac:dyDescent="0.3">
      <c r="A299" t="s">
        <v>295</v>
      </c>
      <c r="B299" t="e">
        <f>VLOOKUP(A299,Enrollment!A:A,1,FALSE)</f>
        <v>#N/A</v>
      </c>
      <c r="C299" t="str">
        <f>VLOOKUP(A299,Building!A:A,1,FALSE)</f>
        <v>EAST PARKING GARAGE</v>
      </c>
      <c r="D299" t="str">
        <f>VLOOKUP(A299,Sector!A:A,1,FALSE)</f>
        <v>EAST PARKING GARAGE</v>
      </c>
    </row>
    <row r="300" spans="1:4" hidden="1" x14ac:dyDescent="0.3">
      <c r="A300" t="s">
        <v>61</v>
      </c>
      <c r="B300" t="str">
        <f>VLOOKUP(A300,Enrollment!A:A,1,FALSE)</f>
        <v>EAST STUDIO BUILDING</v>
      </c>
      <c r="C300" t="str">
        <f>VLOOKUP(A300,Building!A:A,1,FALSE)</f>
        <v>EAST STUDIO BUILDING</v>
      </c>
      <c r="D300" t="str">
        <f>VLOOKUP(A300,Sector!A:A,1,FALSE)</f>
        <v>EAST STUDIO BUILDING</v>
      </c>
    </row>
    <row r="301" spans="1:4" hidden="1" x14ac:dyDescent="0.3">
      <c r="A301" t="s">
        <v>418</v>
      </c>
      <c r="B301" t="e">
        <f>VLOOKUP(A301,Enrollment!A:A,1,FALSE)</f>
        <v>#N/A</v>
      </c>
      <c r="C301" t="str">
        <f>VLOOKUP(A301,Building!A:A,1,FALSE)</f>
        <v>ECHO CHAMBER</v>
      </c>
      <c r="D301" t="str">
        <f>VLOOKUP(A301,Sector!A:A,1,FALSE)</f>
        <v>ECHO CHAMBER</v>
      </c>
    </row>
    <row r="302" spans="1:4" hidden="1" x14ac:dyDescent="0.3">
      <c r="A302" t="s">
        <v>62</v>
      </c>
      <c r="B302" t="str">
        <f>VLOOKUP(A302,Enrollment!A:A,1,FALSE)</f>
        <v>EDMONDSON HALL</v>
      </c>
      <c r="C302" t="str">
        <f>VLOOKUP(A302,Building!A:A,1,FALSE)</f>
        <v>EDMONDSON HALL</v>
      </c>
      <c r="D302" t="e">
        <f>VLOOKUP(A302,Sector!A:A,1,FALSE)</f>
        <v>#N/A</v>
      </c>
    </row>
    <row r="303" spans="1:4" hidden="1" x14ac:dyDescent="0.3">
      <c r="A303" t="s">
        <v>238</v>
      </c>
      <c r="B303" t="e">
        <f>VLOOKUP(A303,Enrollment!A:A,1,FALSE)</f>
        <v>#N/A</v>
      </c>
      <c r="C303" t="str">
        <f>VLOOKUP(A303,Building!A:A,1,FALSE)</f>
        <v>E-HOUSE</v>
      </c>
      <c r="D303" t="str">
        <f>VLOOKUP(A303,Sector!A:A,1,FALSE)</f>
        <v>E-HOUSE</v>
      </c>
    </row>
    <row r="304" spans="1:4" hidden="1" x14ac:dyDescent="0.3">
      <c r="A304" t="s">
        <v>177</v>
      </c>
      <c r="B304" t="str">
        <f>VLOOKUP(A304,Enrollment!A:A,1,FALSE)</f>
        <v>EIGENMANN HALL</v>
      </c>
      <c r="C304" t="str">
        <f>VLOOKUP(A304,Building!A:A,1,FALSE)</f>
        <v>EIGENMANN HALL</v>
      </c>
      <c r="D304" t="str">
        <f>VLOOKUP(A304,Sector!A:A,1,FALSE)</f>
        <v>EIGENMANN HALL</v>
      </c>
    </row>
    <row r="305" spans="1:4" hidden="1" x14ac:dyDescent="0.3">
      <c r="A305" t="s">
        <v>65</v>
      </c>
      <c r="B305" t="str">
        <f>VLOOKUP(A305,Enrollment!A:A,1,FALSE)</f>
        <v>ERNIE PYLE HALL</v>
      </c>
      <c r="C305" t="str">
        <f>VLOOKUP(A305,Building!A:A,1,FALSE)</f>
        <v>ERNIE PYLE HALL</v>
      </c>
      <c r="D305" t="str">
        <f>VLOOKUP(A305,Sector!A:A,1,FALSE)</f>
        <v>ERNIE PYLE HALL</v>
      </c>
    </row>
    <row r="306" spans="1:4" hidden="1" x14ac:dyDescent="0.3">
      <c r="A306" t="s">
        <v>292</v>
      </c>
      <c r="B306" t="e">
        <f>VLOOKUP(A306,Enrollment!A:A,1,FALSE)</f>
        <v>#N/A</v>
      </c>
      <c r="C306" t="str">
        <f>VLOOKUP(A306,Building!A:A,1,FALSE)</f>
        <v>ESKENAZI SCHL / MIES VAN DER ROHE BLDG</v>
      </c>
      <c r="D306" t="str">
        <f>VLOOKUP(A306,Sector!A:A,1,FALSE)</f>
        <v>ESKENAZI SCHL / MIES VAN DER ROHE BLDG</v>
      </c>
    </row>
    <row r="307" spans="1:4" hidden="1" x14ac:dyDescent="0.3">
      <c r="A307" t="s">
        <v>68</v>
      </c>
      <c r="B307" t="str">
        <f>VLOOKUP(A307,Enrollment!A:A,1,FALSE)</f>
        <v>ESKENAZI WOOD AND METAL SHOP</v>
      </c>
      <c r="C307" t="str">
        <f>VLOOKUP(A307,Building!A:A,1,FALSE)</f>
        <v>ESKENAZI WOOD AND METAL SHOP</v>
      </c>
      <c r="D307" t="str">
        <f>VLOOKUP(A307,Sector!A:A,1,FALSE)</f>
        <v>ESKENAZI WOOD AND METAL SHOP</v>
      </c>
    </row>
    <row r="308" spans="1:4" hidden="1" x14ac:dyDescent="0.3">
      <c r="A308" t="s">
        <v>559</v>
      </c>
      <c r="B308" t="e">
        <f>VLOOKUP(A308,Enrollment!A:A,1,FALSE)</f>
        <v>#N/A</v>
      </c>
      <c r="C308" t="str">
        <f>VLOOKUP(A308,Building!A:A,1,FALSE)</f>
        <v>EVANS SCHOLARS</v>
      </c>
      <c r="D308" t="e">
        <f>VLOOKUP(A308,Sector!A:A,1,FALSE)</f>
        <v>#N/A</v>
      </c>
    </row>
    <row r="309" spans="1:4" hidden="1" x14ac:dyDescent="0.3">
      <c r="A309" t="s">
        <v>444</v>
      </c>
      <c r="B309" t="e">
        <f>VLOOKUP(A309,Enrollment!A:A,1,FALSE)</f>
        <v>#N/A</v>
      </c>
      <c r="C309" t="str">
        <f>VLOOKUP(A309,Building!A:A,1,FALSE)</f>
        <v>FACILITY OPS STORAGE</v>
      </c>
      <c r="D309" t="str">
        <f>VLOOKUP(A309,Sector!A:A,1,FALSE)</f>
        <v>FACILITY OPS STORAGE</v>
      </c>
    </row>
    <row r="310" spans="1:4" hidden="1" x14ac:dyDescent="0.3">
      <c r="A310" t="s">
        <v>432</v>
      </c>
      <c r="B310" t="e">
        <f>VLOOKUP(A310,Enrollment!A:A,1,FALSE)</f>
        <v>#N/A</v>
      </c>
      <c r="C310" t="str">
        <f>VLOOKUP(A310,Building!A:A,1,FALSE)</f>
        <v>FEE LANE PKG GARAGE</v>
      </c>
      <c r="D310" t="str">
        <f>VLOOKUP(A310,Sector!A:A,1,FALSE)</f>
        <v>FEE LANE PKG GARAGE</v>
      </c>
    </row>
    <row r="311" spans="1:4" hidden="1" x14ac:dyDescent="0.3">
      <c r="A311" t="s">
        <v>603</v>
      </c>
      <c r="B311" t="e">
        <f>VLOOKUP(A311,Enrollment!A:A,1,FALSE)</f>
        <v>#N/A</v>
      </c>
      <c r="C311" t="str">
        <f>VLOOKUP(A311,Building!A:A,1,FALSE)</f>
        <v>FERGUSON INTERNATIONAL CENTER</v>
      </c>
      <c r="D311" t="str">
        <f>VLOOKUP(A311,Sector!A:A,1,FALSE)</f>
        <v>FERGUSON INTERNATIONAL CENTER</v>
      </c>
    </row>
    <row r="312" spans="1:4" hidden="1" x14ac:dyDescent="0.3">
      <c r="A312" t="s">
        <v>594</v>
      </c>
      <c r="B312" t="e">
        <f>VLOOKUP(A312,Enrollment!A:A,1,FALSE)</f>
        <v>#N/A</v>
      </c>
      <c r="C312" t="str">
        <f>VLOOKUP(A312,Building!A:A,1,FALSE)</f>
        <v>FIELD HOCKEY PRESSBOX</v>
      </c>
      <c r="D312" t="str">
        <f>VLOOKUP(A312,Sector!A:A,1,FALSE)</f>
        <v>FIELD HOCKEY PRESSBOX</v>
      </c>
    </row>
    <row r="313" spans="1:4" hidden="1" x14ac:dyDescent="0.3">
      <c r="A313" t="s">
        <v>70</v>
      </c>
      <c r="B313" t="str">
        <f>VLOOKUP(A313,Enrollment!A:A,1,FALSE)</f>
        <v>FINE ARTS</v>
      </c>
      <c r="C313" t="str">
        <f>VLOOKUP(A313,Building!A:A,1,FALSE)</f>
        <v>FINE ARTS</v>
      </c>
      <c r="D313" t="str">
        <f>VLOOKUP(A313,Sector!A:A,1,FALSE)</f>
        <v>FINE ARTS</v>
      </c>
    </row>
    <row r="314" spans="1:4" hidden="1" x14ac:dyDescent="0.3">
      <c r="A314" t="s">
        <v>583</v>
      </c>
      <c r="B314" t="e">
        <f>VLOOKUP(A314,Enrollment!A:A,1,FALSE)</f>
        <v>#N/A</v>
      </c>
      <c r="C314" t="str">
        <f>VLOOKUP(A314,Building!A:A,1,FALSE)</f>
        <v>FIRE DEPARTMENT</v>
      </c>
      <c r="D314" t="str">
        <f>VLOOKUP(A314,Sector!A:A,1,FALSE)</f>
        <v>FIRE DEPARTMENT</v>
      </c>
    </row>
    <row r="315" spans="1:4" hidden="1" x14ac:dyDescent="0.3">
      <c r="A315" t="s">
        <v>454</v>
      </c>
      <c r="B315" t="e">
        <f>VLOOKUP(A315,Enrollment!A:A,1,FALSE)</f>
        <v>#N/A</v>
      </c>
      <c r="C315" t="str">
        <f>VLOOKUP(A315,Building!A:A,1,FALSE)</f>
        <v>FLY MAGNETIC CENTER</v>
      </c>
      <c r="D315" t="str">
        <f>VLOOKUP(A315,Sector!A:A,1,FALSE)</f>
        <v>FLY MAGNETIC CENTER</v>
      </c>
    </row>
    <row r="316" spans="1:4" hidden="1" x14ac:dyDescent="0.3">
      <c r="A316" t="s">
        <v>507</v>
      </c>
      <c r="B316" t="e">
        <f>VLOOKUP(A316,Enrollment!A:A,1,FALSE)</f>
        <v>#N/A</v>
      </c>
      <c r="C316" t="str">
        <f>VLOOKUP(A316,Building!A:A,1,FALSE)</f>
        <v>FOOTBALL STORAGE</v>
      </c>
      <c r="D316" t="str">
        <f>VLOOKUP(A316,Sector!A:A,1,FALSE)</f>
        <v>FOOTBALL STORAGE</v>
      </c>
    </row>
    <row r="317" spans="1:4" hidden="1" x14ac:dyDescent="0.3">
      <c r="A317" t="s">
        <v>71</v>
      </c>
      <c r="B317" t="str">
        <f>VLOOKUP(A317,Enrollment!A:A,1,FALSE)</f>
        <v>FOREST QUAD</v>
      </c>
      <c r="C317" t="str">
        <f>VLOOKUP(A317,Building!A:A,1,FALSE)</f>
        <v>FOREST QUAD</v>
      </c>
      <c r="D317" t="str">
        <f>VLOOKUP(A317,Sector!A:A,1,FALSE)</f>
        <v>FOREST QUAD</v>
      </c>
    </row>
    <row r="318" spans="1:4" hidden="1" x14ac:dyDescent="0.3">
      <c r="A318" t="s">
        <v>310</v>
      </c>
      <c r="B318" t="e">
        <f>VLOOKUP(A318,Enrollment!A:A,1,FALSE)</f>
        <v>#N/A</v>
      </c>
      <c r="C318" t="str">
        <f>VLOOKUP(A318,Building!A:A,1,FALSE)</f>
        <v>FOREST QUAD CHILLER</v>
      </c>
      <c r="D318" t="str">
        <f>VLOOKUP(A318,Sector!A:A,1,FALSE)</f>
        <v>FOREST QUAD CHILLER</v>
      </c>
    </row>
    <row r="319" spans="1:4" hidden="1" x14ac:dyDescent="0.3">
      <c r="A319" t="s">
        <v>591</v>
      </c>
      <c r="B319" t="e">
        <f>VLOOKUP(A319,Enrollment!A:A,1,FALSE)</f>
        <v>#N/A</v>
      </c>
      <c r="C319" t="str">
        <f>VLOOKUP(A319,Building!A:A,1,FALSE)</f>
        <v>FORREST AVENUE PARKING GARAGE</v>
      </c>
      <c r="D319" t="str">
        <f>VLOOKUP(A319,Sector!A:A,1,FALSE)</f>
        <v>FORREST AVENUE PARKING GARAGE</v>
      </c>
    </row>
    <row r="320" spans="1:4" hidden="1" x14ac:dyDescent="0.3">
      <c r="A320" t="s">
        <v>3</v>
      </c>
      <c r="B320" t="str">
        <f>VLOOKUP(A320,Enrollment!A:A,1,FALSE)</f>
        <v>FRANKLIN HALL</v>
      </c>
      <c r="C320" t="str">
        <f>VLOOKUP(A320,Building!A:A,1,FALSE)</f>
        <v>FRANKLIN HALL</v>
      </c>
      <c r="D320" t="str">
        <f>VLOOKUP(A320,Sector!A:A,1,FALSE)</f>
        <v>FRANKLIN HALL</v>
      </c>
    </row>
    <row r="321" spans="1:4" hidden="1" x14ac:dyDescent="0.3">
      <c r="A321" t="s">
        <v>565</v>
      </c>
      <c r="B321" t="e">
        <f>VLOOKUP(A321,Enrollment!A:A,1,FALSE)</f>
        <v>#N/A</v>
      </c>
      <c r="C321" t="str">
        <f>VLOOKUP(A321,Building!A:A,1,FALSE)</f>
        <v>GAMMA PHI BETA</v>
      </c>
      <c r="D321" t="e">
        <f>VLOOKUP(A321,Sector!A:A,1,FALSE)</f>
        <v>#N/A</v>
      </c>
    </row>
    <row r="322" spans="1:4" hidden="1" x14ac:dyDescent="0.3">
      <c r="A322" t="s">
        <v>297</v>
      </c>
      <c r="B322" t="e">
        <f>VLOOKUP(A322,Enrollment!A:A,1,FALSE)</f>
        <v>#N/A</v>
      </c>
      <c r="C322" t="str">
        <f>VLOOKUP(A322,Building!A:A,1,FALSE)</f>
        <v>GAZEBO-ARBORETUM</v>
      </c>
      <c r="D322" t="e">
        <f>VLOOKUP(A322,Sector!A:A,1,FALSE)</f>
        <v>#N/A</v>
      </c>
    </row>
    <row r="323" spans="1:4" hidden="1" x14ac:dyDescent="0.3">
      <c r="A323" t="s">
        <v>390</v>
      </c>
      <c r="B323" t="e">
        <f>VLOOKUP(A323,Enrollment!A:A,1,FALSE)</f>
        <v>#N/A</v>
      </c>
      <c r="C323" t="str">
        <f>VLOOKUP(A323,Building!A:A,1,FALSE)</f>
        <v>GEOL. MATERIAL TEST</v>
      </c>
      <c r="D323" t="str">
        <f>VLOOKUP(A323,Sector!A:A,1,FALSE)</f>
        <v>GEOL. MATERIAL TEST</v>
      </c>
    </row>
    <row r="324" spans="1:4" hidden="1" x14ac:dyDescent="0.3">
      <c r="A324" t="s">
        <v>72</v>
      </c>
      <c r="B324" t="str">
        <f>VLOOKUP(A324,Enrollment!A:A,1,FALSE)</f>
        <v>GEOLOGICAL SCIENCES</v>
      </c>
      <c r="C324" t="str">
        <f>VLOOKUP(A324,Building!A:A,1,FALSE)</f>
        <v>GEOLOGICAL SCIENCES</v>
      </c>
      <c r="D324" t="str">
        <f>VLOOKUP(A324,Sector!A:A,1,FALSE)</f>
        <v>GEOLOGICAL SCIENCES</v>
      </c>
    </row>
    <row r="325" spans="1:4" hidden="1" x14ac:dyDescent="0.3">
      <c r="A325" t="s">
        <v>461</v>
      </c>
      <c r="B325" t="e">
        <f>VLOOKUP(A325,Enrollment!A:A,1,FALSE)</f>
        <v>#N/A</v>
      </c>
      <c r="C325" t="str">
        <f>VLOOKUP(A325,Building!A:A,1,FALSE)</f>
        <v>GEORGE THOMAS CLUBHOUSE</v>
      </c>
      <c r="D325" t="str">
        <f>VLOOKUP(A325,Sector!A:A,1,FALSE)</f>
        <v>GEORGE THOMAS CLUBHOUSE</v>
      </c>
    </row>
    <row r="326" spans="1:4" hidden="1" x14ac:dyDescent="0.3">
      <c r="A326" t="s">
        <v>162</v>
      </c>
      <c r="B326" t="str">
        <f>VLOOKUP(A326,Enrollment!A:A,1,FALSE)</f>
        <v>GLADSTEIN FIELDHOUSE</v>
      </c>
      <c r="C326" t="str">
        <f>VLOOKUP(A326,Building!A:A,1,FALSE)</f>
        <v>GLADSTEIN FIELDHOUSE</v>
      </c>
      <c r="D326" t="str">
        <f>VLOOKUP(A326,Sector!A:A,1,FALSE)</f>
        <v>GLADSTEIN FIELDHOUSE</v>
      </c>
    </row>
    <row r="327" spans="1:4" hidden="1" x14ac:dyDescent="0.3">
      <c r="A327" t="s">
        <v>4</v>
      </c>
      <c r="B327" t="str">
        <f>VLOOKUP(A327,Enrollment!A:A,1,FALSE)</f>
        <v>GLOBAL &amp; INTL STUDIES BLDG</v>
      </c>
      <c r="C327" t="str">
        <f>VLOOKUP(A327,Building!A:A,1,FALSE)</f>
        <v>GLOBAL &amp; INTL STUDIES BLDG</v>
      </c>
      <c r="D327" t="str">
        <f>VLOOKUP(A327,Sector!A:A,1,FALSE)</f>
        <v>GLOBAL &amp; INTL STUDIES BLDG</v>
      </c>
    </row>
    <row r="328" spans="1:4" hidden="1" x14ac:dyDescent="0.3">
      <c r="A328" t="s">
        <v>463</v>
      </c>
      <c r="B328" t="e">
        <f>VLOOKUP(A328,Enrollment!A:A,1,FALSE)</f>
        <v>#N/A</v>
      </c>
      <c r="C328" t="str">
        <f>VLOOKUP(A328,Building!A:A,1,FALSE)</f>
        <v>GLOBAL NOC BUILDING</v>
      </c>
      <c r="D328" t="str">
        <f>VLOOKUP(A328,Sector!A:A,1,FALSE)</f>
        <v>GLOBAL NOC BUILDING</v>
      </c>
    </row>
    <row r="329" spans="1:4" hidden="1" x14ac:dyDescent="0.3">
      <c r="A329" t="s">
        <v>28</v>
      </c>
      <c r="B329" t="str">
        <f>VLOOKUP(A329,Enrollment!A:A,1,FALSE)</f>
        <v>GODFREY GRAD&amp;EXEC ED CTR</v>
      </c>
      <c r="C329" t="str">
        <f>VLOOKUP(A329,Building!A:A,1,FALSE)</f>
        <v>GODFREY GRAD&amp;EXEC ED CTR</v>
      </c>
      <c r="D329" t="str">
        <f>VLOOKUP(A329,Sector!A:A,1,FALSE)</f>
        <v>GODFREY GRAD&amp;EXEC ED CTR</v>
      </c>
    </row>
    <row r="330" spans="1:4" hidden="1" x14ac:dyDescent="0.3">
      <c r="A330" t="s">
        <v>495</v>
      </c>
      <c r="B330" t="e">
        <f>VLOOKUP(A330,Enrollment!A:A,1,FALSE)</f>
        <v>#N/A</v>
      </c>
      <c r="C330" t="str">
        <f>VLOOKUP(A330,Building!A:A,1,FALSE)</f>
        <v>GOLF MAINT STORAGE</v>
      </c>
      <c r="D330" t="e">
        <f>VLOOKUP(A330,Sector!A:A,1,FALSE)</f>
        <v>#N/A</v>
      </c>
    </row>
    <row r="331" spans="1:4" hidden="1" x14ac:dyDescent="0.3">
      <c r="A331" t="s">
        <v>494</v>
      </c>
      <c r="B331" t="e">
        <f>VLOOKUP(A331,Enrollment!A:A,1,FALSE)</f>
        <v>#N/A</v>
      </c>
      <c r="C331" t="str">
        <f>VLOOKUP(A331,Building!A:A,1,FALSE)</f>
        <v>GOLF MAINTENANCE</v>
      </c>
      <c r="D331" t="str">
        <f>VLOOKUP(A331,Sector!A:A,1,FALSE)</f>
        <v>GOLF MAINTENANCE</v>
      </c>
    </row>
    <row r="332" spans="1:4" hidden="1" x14ac:dyDescent="0.3">
      <c r="A332" t="s">
        <v>496</v>
      </c>
      <c r="B332" t="e">
        <f>VLOOKUP(A332,Enrollment!A:A,1,FALSE)</f>
        <v>#N/A</v>
      </c>
      <c r="C332" t="str">
        <f>VLOOKUP(A332,Building!A:A,1,FALSE)</f>
        <v>GOLF PUMPHOUSE</v>
      </c>
      <c r="D332" t="str">
        <f>VLOOKUP(A332,Sector!A:A,1,FALSE)</f>
        <v>GOLF PUMPHOUSE</v>
      </c>
    </row>
    <row r="333" spans="1:4" hidden="1" x14ac:dyDescent="0.3">
      <c r="A333" t="s">
        <v>282</v>
      </c>
      <c r="B333" t="e">
        <f>VLOOKUP(A333,Enrollment!A:A,1,FALSE)</f>
        <v>#N/A</v>
      </c>
      <c r="C333" t="str">
        <f>VLOOKUP(A333,Building!A:A,1,FALSE)</f>
        <v>GOODBODY HALL</v>
      </c>
      <c r="D333" t="str">
        <f>VLOOKUP(A333,Sector!A:A,1,FALSE)</f>
        <v>GOODBODY HALL</v>
      </c>
    </row>
    <row r="334" spans="1:4" hidden="1" x14ac:dyDescent="0.3">
      <c r="A334" t="s">
        <v>73</v>
      </c>
      <c r="B334" t="str">
        <f>VLOOKUP(A334,Enrollment!A:A,1,FALSE)</f>
        <v>GRESHAM DINING HALL</v>
      </c>
      <c r="C334" t="str">
        <f>VLOOKUP(A334,Building!A:A,1,FALSE)</f>
        <v>GRESHAM DINING HALL</v>
      </c>
      <c r="D334" t="str">
        <f>VLOOKUP(A334,Sector!A:A,1,FALSE)</f>
        <v>GRESHAM DINING HALL</v>
      </c>
    </row>
    <row r="335" spans="1:4" hidden="1" x14ac:dyDescent="0.3">
      <c r="A335" t="s">
        <v>323</v>
      </c>
      <c r="B335" t="e">
        <f>VLOOKUP(A335,Enrollment!A:A,1,FALSE)</f>
        <v>#N/A</v>
      </c>
      <c r="C335" t="str">
        <f>VLOOKUP(A335,Building!A:A,1,FALSE)</f>
        <v>GRIGGS LOUNGE</v>
      </c>
      <c r="D335" t="str">
        <f>VLOOKUP(A335,Sector!A:A,1,FALSE)</f>
        <v>GRIGGS LOUNGE</v>
      </c>
    </row>
    <row r="336" spans="1:4" hidden="1" x14ac:dyDescent="0.3">
      <c r="A336" t="s">
        <v>147</v>
      </c>
      <c r="B336" t="str">
        <f>VLOOKUP(A336,Enrollment!A:A,1,FALSE)</f>
        <v>HARLOS HOUSE</v>
      </c>
      <c r="C336" t="str">
        <f>VLOOKUP(A336,Building!A:A,1,FALSE)</f>
        <v>HARLOS HOUSE</v>
      </c>
      <c r="D336" t="str">
        <f>VLOOKUP(A336,Sector!A:A,1,FALSE)</f>
        <v>HARLOS HOUSE</v>
      </c>
    </row>
    <row r="337" spans="1:4" hidden="1" x14ac:dyDescent="0.3">
      <c r="A337" t="s">
        <v>433</v>
      </c>
      <c r="B337" t="e">
        <f>VLOOKUP(A337,Enrollment!A:A,1,FALSE)</f>
        <v>#N/A</v>
      </c>
      <c r="C337" t="str">
        <f>VLOOKUP(A337,Building!A:A,1,FALSE)</f>
        <v>HARPER HALL</v>
      </c>
      <c r="D337" t="str">
        <f>VLOOKUP(A337,Sector!A:A,1,FALSE)</f>
        <v>HARPER HALL</v>
      </c>
    </row>
    <row r="338" spans="1:4" hidden="1" x14ac:dyDescent="0.3">
      <c r="A338" t="s">
        <v>274</v>
      </c>
      <c r="B338" t="e">
        <f>VLOOKUP(A338,Enrollment!A:A,1,FALSE)</f>
        <v>#N/A</v>
      </c>
      <c r="C338" t="str">
        <f>VLOOKUP(A338,Building!A:A,1,FALSE)</f>
        <v>HARRIS HOUSE</v>
      </c>
      <c r="D338" t="str">
        <f>VLOOKUP(A338,Sector!A:A,1,FALSE)</f>
        <v>HARRIS HOUSE</v>
      </c>
    </row>
    <row r="339" spans="1:4" hidden="1" x14ac:dyDescent="0.3">
      <c r="A339" t="s">
        <v>476</v>
      </c>
      <c r="B339" t="e">
        <f>VLOOKUP(A339,Enrollment!A:A,1,FALSE)</f>
        <v>#N/A</v>
      </c>
      <c r="C339" t="str">
        <f>VLOOKUP(A339,Building!A:A,1,FALSE)</f>
        <v>HAYES TRACK PRESSBOX</v>
      </c>
      <c r="D339" t="str">
        <f>VLOOKUP(A339,Sector!A:A,1,FALSE)</f>
        <v>HAYES TRACK PRESSBOX</v>
      </c>
    </row>
    <row r="340" spans="1:4" hidden="1" x14ac:dyDescent="0.3">
      <c r="A340" t="s">
        <v>475</v>
      </c>
      <c r="B340" t="e">
        <f>VLOOKUP(A340,Enrollment!A:A,1,FALSE)</f>
        <v>#N/A</v>
      </c>
      <c r="C340" t="str">
        <f>VLOOKUP(A340,Building!A:A,1,FALSE)</f>
        <v>HAYES TRACK STORAGE</v>
      </c>
      <c r="D340" t="str">
        <f>VLOOKUP(A340,Sector!A:A,1,FALSE)</f>
        <v>HAYES TRACK STORAGE</v>
      </c>
    </row>
    <row r="341" spans="1:4" hidden="1" x14ac:dyDescent="0.3">
      <c r="A341" t="s">
        <v>483</v>
      </c>
      <c r="B341" t="e">
        <f>VLOOKUP(A341,Enrollment!A:A,1,FALSE)</f>
        <v>#N/A</v>
      </c>
      <c r="C341" t="str">
        <f>VLOOKUP(A341,Building!A:A,1,FALSE)</f>
        <v>HEADLEY SCH GARAGE</v>
      </c>
      <c r="D341" t="str">
        <f>VLOOKUP(A341,Sector!A:A,1,FALSE)</f>
        <v>HEADLEY SCH GARAGE</v>
      </c>
    </row>
    <row r="342" spans="1:4" hidden="1" x14ac:dyDescent="0.3">
      <c r="A342" t="s">
        <v>482</v>
      </c>
      <c r="B342" t="e">
        <f>VLOOKUP(A342,Enrollment!A:A,1,FALSE)</f>
        <v>#N/A</v>
      </c>
      <c r="C342" t="str">
        <f>VLOOKUP(A342,Building!A:A,1,FALSE)</f>
        <v>HEADLEY SCHOOL</v>
      </c>
      <c r="D342" t="str">
        <f>VLOOKUP(A342,Sector!A:A,1,FALSE)</f>
        <v>HEADLEY SCHOOL</v>
      </c>
    </row>
    <row r="343" spans="1:4" hidden="1" x14ac:dyDescent="0.3">
      <c r="A343" t="s">
        <v>278</v>
      </c>
      <c r="B343" t="e">
        <f>VLOOKUP(A343,Enrollment!A:A,1,FALSE)</f>
        <v>#N/A</v>
      </c>
      <c r="C343" t="str">
        <f>VLOOKUP(A343,Building!A:A,1,FALSE)</f>
        <v>HENDERSON PARKING GARAGE</v>
      </c>
      <c r="D343" t="str">
        <f>VLOOKUP(A343,Sector!A:A,1,FALSE)</f>
        <v>HENDERSON PARKING GARAGE</v>
      </c>
    </row>
    <row r="344" spans="1:4" hidden="1" x14ac:dyDescent="0.3">
      <c r="A344" t="s">
        <v>312</v>
      </c>
      <c r="B344" t="e">
        <f>VLOOKUP(A344,Enrollment!A:A,1,FALSE)</f>
        <v>#N/A</v>
      </c>
      <c r="C344" t="str">
        <f>VLOOKUP(A344,Building!A:A,1,FALSE)</f>
        <v>HERSHEY HALL</v>
      </c>
      <c r="D344" t="str">
        <f>VLOOKUP(A344,Sector!A:A,1,FALSE)</f>
        <v>HERSHEY HALL</v>
      </c>
    </row>
    <row r="345" spans="1:4" hidden="1" x14ac:dyDescent="0.3">
      <c r="A345" t="s">
        <v>315</v>
      </c>
      <c r="B345" t="e">
        <f>VLOOKUP(A345,Enrollment!A:A,1,FALSE)</f>
        <v>#N/A</v>
      </c>
      <c r="C345" t="str">
        <f>VLOOKUP(A345,Building!A:A,1,FALSE)</f>
        <v>HICKORY HALL</v>
      </c>
      <c r="D345" t="str">
        <f>VLOOKUP(A345,Sector!A:A,1,FALSE)</f>
        <v>HICKORY HALL</v>
      </c>
    </row>
    <row r="346" spans="1:4" hidden="1" x14ac:dyDescent="0.3">
      <c r="A346" t="s">
        <v>157</v>
      </c>
      <c r="B346" t="str">
        <f>VLOOKUP(A346,Enrollment!A:A,1,FALSE)</f>
        <v>HILLCREST</v>
      </c>
      <c r="C346" t="str">
        <f>VLOOKUP(A346,Building!A:A,1,FALSE)</f>
        <v>HILLCREST</v>
      </c>
      <c r="D346" t="str">
        <f>VLOOKUP(A346,Sector!A:A,1,FALSE)</f>
        <v>HILLCREST</v>
      </c>
    </row>
    <row r="347" spans="1:4" hidden="1" x14ac:dyDescent="0.3">
      <c r="A347" t="s">
        <v>587</v>
      </c>
      <c r="B347" t="str">
        <f>VLOOKUP(A347,Enrollment!A:A,1,FALSE)</f>
        <v>Hillel Center</v>
      </c>
      <c r="C347" t="str">
        <f>VLOOKUP(A347,Building!A:A,1,FALSE)</f>
        <v>HILLEL CENTER</v>
      </c>
      <c r="D347" t="str">
        <f>VLOOKUP(A347,Sector!A:A,1,FALSE)</f>
        <v>HILLEL CENTER</v>
      </c>
    </row>
    <row r="348" spans="1:4" hidden="1" x14ac:dyDescent="0.3">
      <c r="A348" t="s">
        <v>453</v>
      </c>
      <c r="B348" t="e">
        <f>VLOOKUP(A348,Enrollment!A:A,1,FALSE)</f>
        <v>#N/A</v>
      </c>
      <c r="C348" t="str">
        <f>VLOOKUP(A348,Building!A:A,1,FALSE)</f>
        <v>HILLTOP GARDEN CENTER</v>
      </c>
      <c r="D348" t="str">
        <f>VLOOKUP(A348,Sector!A:A,1,FALSE)</f>
        <v>HILLTOP GARDEN CENTER</v>
      </c>
    </row>
    <row r="349" spans="1:4" hidden="1" x14ac:dyDescent="0.3">
      <c r="A349" t="s">
        <v>6</v>
      </c>
      <c r="B349" t="str">
        <f>VLOOKUP(A349,Enrollment!A:A,1,FALSE)</f>
        <v>HODGE HALL (BUSINESS SCHOOL)</v>
      </c>
      <c r="C349" t="str">
        <f>VLOOKUP(A349,Building!A:A,1,FALSE)</f>
        <v>HODGE HALL (BUSINESS SCHOOL)</v>
      </c>
      <c r="D349" t="str">
        <f>VLOOKUP(A349,Sector!A:A,1,FALSE)</f>
        <v>HODGE HALL (BUSINESS SCHOOL)</v>
      </c>
    </row>
    <row r="350" spans="1:4" hidden="1" x14ac:dyDescent="0.3">
      <c r="A350" t="s">
        <v>445</v>
      </c>
      <c r="B350" t="e">
        <f>VLOOKUP(A350,Enrollment!A:A,1,FALSE)</f>
        <v>#N/A</v>
      </c>
      <c r="C350" t="str">
        <f>VLOOKUP(A350,Building!A:A,1,FALSE)</f>
        <v>HOOSIER COURTS D/C</v>
      </c>
      <c r="D350" t="str">
        <f>VLOOKUP(A350,Sector!A:A,1,FALSE)</f>
        <v>HOOSIER COURTS D/C</v>
      </c>
    </row>
    <row r="351" spans="1:4" hidden="1" x14ac:dyDescent="0.3">
      <c r="A351" t="s">
        <v>77</v>
      </c>
      <c r="B351" t="str">
        <f>VLOOKUP(A351,Enrollment!A:A,1,FALSE)</f>
        <v>HUTTON HONORS COLLEGE</v>
      </c>
      <c r="C351" t="str">
        <f>VLOOKUP(A351,Building!A:A,1,FALSE)</f>
        <v>HUTTON HONORS COLLEGE</v>
      </c>
      <c r="D351" t="str">
        <f>VLOOKUP(A351,Sector!A:A,1,FALSE)</f>
        <v>HUTTON HONORS COLLEGE</v>
      </c>
    </row>
    <row r="352" spans="1:4" hidden="1" x14ac:dyDescent="0.3">
      <c r="A352" t="s">
        <v>275</v>
      </c>
      <c r="B352" t="e">
        <f>VLOOKUP(A352,Enrollment!A:A,1,FALSE)</f>
        <v>#N/A</v>
      </c>
      <c r="C352" t="str">
        <f>VLOOKUP(A352,Building!A:A,1,FALSE)</f>
        <v>IMU GUARD HUT</v>
      </c>
      <c r="D352" t="str">
        <f>VLOOKUP(A352,Sector!A:A,1,FALSE)</f>
        <v>IMU GUARD HUT</v>
      </c>
    </row>
    <row r="353" spans="1:4" hidden="1" x14ac:dyDescent="0.3">
      <c r="A353" t="s">
        <v>164</v>
      </c>
      <c r="B353" t="str">
        <f>VLOOKUP(A353,Enrollment!A:A,1,FALSE)</f>
        <v>IN MEMORIAL UNION</v>
      </c>
      <c r="C353" t="str">
        <f>VLOOKUP(A353,Building!A:A,1,FALSE)</f>
        <v>IN MEMORIAL UNION</v>
      </c>
      <c r="D353" t="str">
        <f>VLOOKUP(A353,Sector!A:A,1,FALSE)</f>
        <v>IN MEMORIAL UNION</v>
      </c>
    </row>
    <row r="354" spans="1:4" hidden="1" x14ac:dyDescent="0.3">
      <c r="A354" t="s">
        <v>462</v>
      </c>
      <c r="B354" t="e">
        <f>VLOOKUP(A354,Enrollment!A:A,1,FALSE)</f>
        <v>#N/A</v>
      </c>
      <c r="C354" t="str">
        <f>VLOOKUP(A354,Building!A:A,1,FALSE)</f>
        <v>INNOVATION CENTER</v>
      </c>
      <c r="D354" t="str">
        <f>VLOOKUP(A354,Sector!A:A,1,FALSE)</f>
        <v>INNOVATION CENTER</v>
      </c>
    </row>
    <row r="355" spans="1:4" hidden="1" x14ac:dyDescent="0.3">
      <c r="A355" t="s">
        <v>464</v>
      </c>
      <c r="B355" t="e">
        <f>VLOOKUP(A355,Enrollment!A:A,1,FALSE)</f>
        <v>#N/A</v>
      </c>
      <c r="C355" t="str">
        <f>VLOOKUP(A355,Building!A:A,1,FALSE)</f>
        <v>INTERCOL. ATHL. GYM</v>
      </c>
      <c r="D355" t="str">
        <f>VLOOKUP(A355,Sector!A:A,1,FALSE)</f>
        <v>INTERCOL. ATHL. GYM</v>
      </c>
    </row>
    <row r="356" spans="1:4" hidden="1" x14ac:dyDescent="0.3">
      <c r="A356" t="s">
        <v>298</v>
      </c>
      <c r="B356" t="e">
        <f>VLOOKUP(A356,Enrollment!A:A,1,FALSE)</f>
        <v>#N/A</v>
      </c>
      <c r="C356" t="str">
        <f>VLOOKUP(A356,Building!A:A,1,FALSE)</f>
        <v>INTERNATIONAL CENTER</v>
      </c>
      <c r="D356" t="str">
        <f>VLOOKUP(A356,Sector!A:A,1,FALSE)</f>
        <v>INTERNATIONAL CENTER</v>
      </c>
    </row>
    <row r="357" spans="1:4" hidden="1" x14ac:dyDescent="0.3">
      <c r="A357" t="s">
        <v>506</v>
      </c>
      <c r="B357" t="e">
        <f>VLOOKUP(A357,Enrollment!A:A,1,FALSE)</f>
        <v>#N/A</v>
      </c>
      <c r="C357" t="str">
        <f>VLOOKUP(A357,Building!A:A,1,FALSE)</f>
        <v>IRELAND FAMILY FIELDHOUSE</v>
      </c>
      <c r="D357" t="str">
        <f>VLOOKUP(A357,Sector!A:A,1,FALSE)</f>
        <v>IRELAND FAMILY FIELDHOUSE</v>
      </c>
    </row>
    <row r="358" spans="1:4" hidden="1" x14ac:dyDescent="0.3">
      <c r="A358" t="s">
        <v>180</v>
      </c>
      <c r="B358" t="str">
        <f>VLOOKUP(A358,Enrollment!A:A,1,FALSE)</f>
        <v>IU CINEMA</v>
      </c>
      <c r="C358" t="str">
        <f>VLOOKUP(A358,Building!A:A,1,FALSE)</f>
        <v>IU CINEMA</v>
      </c>
      <c r="D358" t="str">
        <f>VLOOKUP(A358,Sector!A:A,1,FALSE)</f>
        <v>IU CINEMA</v>
      </c>
    </row>
    <row r="359" spans="1:4" hidden="1" x14ac:dyDescent="0.3">
      <c r="A359" t="s">
        <v>498</v>
      </c>
      <c r="B359" t="e">
        <f>VLOOKUP(A359,Enrollment!A:A,1,FALSE)</f>
        <v>#N/A</v>
      </c>
      <c r="C359" t="str">
        <f>VLOOKUP(A359,Building!A:A,1,FALSE)</f>
        <v>IU GOLF TEACHING AND TRAINING CENTER</v>
      </c>
      <c r="D359" t="str">
        <f>VLOOKUP(A359,Sector!A:A,1,FALSE)</f>
        <v>IU GOLF TEACHING AND TRAINING CENTER</v>
      </c>
    </row>
    <row r="360" spans="1:4" hidden="1" x14ac:dyDescent="0.3">
      <c r="A360" t="s">
        <v>196</v>
      </c>
      <c r="B360" t="e">
        <f>VLOOKUP(A360,Enrollment!A:A,1,FALSE)</f>
        <v>#N/A</v>
      </c>
      <c r="C360" t="str">
        <f>VLOOKUP(A360,Building!A:A,1,FALSE)</f>
        <v>IU MUSEUM OF ARCHAEOLOGY &amp; ANTHROPOLOGY</v>
      </c>
      <c r="D360" t="str">
        <f>VLOOKUP(A360,Sector!A:A,1,FALSE)</f>
        <v>IU MUSEUM OF ARCHAEOLOGY &amp; ANTHROPOLOGY</v>
      </c>
    </row>
    <row r="361" spans="1:4" hidden="1" x14ac:dyDescent="0.3">
      <c r="A361" t="s">
        <v>441</v>
      </c>
      <c r="B361" t="e">
        <f>VLOOKUP(A361,Enrollment!A:A,1,FALSE)</f>
        <v>#N/A</v>
      </c>
      <c r="C361" t="str">
        <f>VLOOKUP(A361,Building!A:A,1,FALSE)</f>
        <v>IU STUDENT HEALTH CENTER</v>
      </c>
      <c r="D361" t="str">
        <f>VLOOKUP(A361,Sector!A:A,1,FALSE)</f>
        <v>IU STUDENT HEALTH CENTER</v>
      </c>
    </row>
    <row r="362" spans="1:4" hidden="1" x14ac:dyDescent="0.3">
      <c r="A362" t="s">
        <v>510</v>
      </c>
      <c r="B362" t="e">
        <f>VLOOKUP(A362,Enrollment!A:A,1,FALSE)</f>
        <v>#N/A</v>
      </c>
      <c r="C362" t="str">
        <f>VLOOKUP(A362,Building!A:A,1,FALSE)</f>
        <v>IU WAREHOUSE</v>
      </c>
      <c r="D362" t="str">
        <f>VLOOKUP(A362,Sector!A:A,1,FALSE)</f>
        <v>IU WAREHOUSE</v>
      </c>
    </row>
    <row r="363" spans="1:4" hidden="1" x14ac:dyDescent="0.3">
      <c r="A363" t="s">
        <v>545</v>
      </c>
      <c r="B363" t="e">
        <f>VLOOKUP(A363,Enrollment!A:A,1,FALSE)</f>
        <v>#N/A</v>
      </c>
      <c r="C363" t="str">
        <f>VLOOKUP(A363,Building!A:A,1,FALSE)</f>
        <v>IUF STORAGE</v>
      </c>
      <c r="D363" t="str">
        <f>VLOOKUP(A363,Sector!A:A,1,FALSE)</f>
        <v>IUF STORAGE</v>
      </c>
    </row>
    <row r="364" spans="1:4" hidden="1" x14ac:dyDescent="0.3">
      <c r="A364" t="s">
        <v>436</v>
      </c>
      <c r="B364" t="e">
        <f>VLOOKUP(A364,Enrollment!A:A,1,FALSE)</f>
        <v>#N/A</v>
      </c>
      <c r="C364" t="str">
        <f>VLOOKUP(A364,Building!A:A,1,FALSE)</f>
        <v>JENKINSON HALL</v>
      </c>
      <c r="D364" t="str">
        <f>VLOOKUP(A364,Sector!A:A,1,FALSE)</f>
        <v>JENKINSON HALL</v>
      </c>
    </row>
    <row r="365" spans="1:4" hidden="1" x14ac:dyDescent="0.3">
      <c r="A365" t="s">
        <v>313</v>
      </c>
      <c r="B365" t="e">
        <f>VLOOKUP(A365,Enrollment!A:A,1,FALSE)</f>
        <v>#N/A</v>
      </c>
      <c r="C365" t="str">
        <f>VLOOKUP(A365,Building!A:A,1,FALSE)</f>
        <v>JOHNSTON HALL</v>
      </c>
      <c r="D365" t="str">
        <f>VLOOKUP(A365,Sector!A:A,1,FALSE)</f>
        <v>JOHNSTON HALL</v>
      </c>
    </row>
    <row r="366" spans="1:4" hidden="1" x14ac:dyDescent="0.3">
      <c r="A366" t="s">
        <v>522</v>
      </c>
      <c r="B366" t="e">
        <f>VLOOKUP(A366,Enrollment!A:A,1,FALSE)</f>
        <v>#N/A</v>
      </c>
      <c r="C366" t="str">
        <f>VLOOKUP(A366,Building!A:A,1,FALSE)</f>
        <v>JOURNAL AMERICAN HISTORY</v>
      </c>
      <c r="D366" t="str">
        <f>VLOOKUP(A366,Sector!A:A,1,FALSE)</f>
        <v>JOURNAL AMERICAN HISTORY</v>
      </c>
    </row>
    <row r="367" spans="1:4" hidden="1" x14ac:dyDescent="0.3">
      <c r="A367" t="s">
        <v>448</v>
      </c>
      <c r="B367" t="e">
        <f>VLOOKUP(A367,Enrollment!A:A,1,FALSE)</f>
        <v>#N/A</v>
      </c>
      <c r="C367" t="str">
        <f>VLOOKUP(A367,Building!A:A,1,FALSE)</f>
        <v>JUNIOR GARDENING</v>
      </c>
      <c r="D367" t="str">
        <f>VLOOKUP(A367,Sector!A:A,1,FALSE)</f>
        <v>JUNIOR GARDENING</v>
      </c>
    </row>
    <row r="368" spans="1:4" hidden="1" x14ac:dyDescent="0.3">
      <c r="A368" t="s">
        <v>553</v>
      </c>
      <c r="B368" t="e">
        <f>VLOOKUP(A368,Enrollment!A:A,1,FALSE)</f>
        <v>#N/A</v>
      </c>
      <c r="C368" t="str">
        <f>VLOOKUP(A368,Building!A:A,1,FALSE)</f>
        <v>KAPPA ALPHA THETA</v>
      </c>
      <c r="D368" t="e">
        <f>VLOOKUP(A368,Sector!A:A,1,FALSE)</f>
        <v>#N/A</v>
      </c>
    </row>
    <row r="369" spans="1:4" hidden="1" x14ac:dyDescent="0.3">
      <c r="A369" t="s">
        <v>555</v>
      </c>
      <c r="B369" t="e">
        <f>VLOOKUP(A369,Enrollment!A:A,1,FALSE)</f>
        <v>#N/A</v>
      </c>
      <c r="C369" t="str">
        <f>VLOOKUP(A369,Building!A:A,1,FALSE)</f>
        <v>KAPPA DELTA</v>
      </c>
      <c r="D369" t="str">
        <f>VLOOKUP(A369,Sector!A:A,1,FALSE)</f>
        <v>KAPPA DELTA</v>
      </c>
    </row>
    <row r="370" spans="1:4" hidden="1" x14ac:dyDescent="0.3">
      <c r="A370" t="s">
        <v>549</v>
      </c>
      <c r="B370" t="e">
        <f>VLOOKUP(A370,Enrollment!A:A,1,FALSE)</f>
        <v>#N/A</v>
      </c>
      <c r="C370" t="str">
        <f>VLOOKUP(A370,Building!A:A,1,FALSE)</f>
        <v>KAPPA KAPPA GAMMA</v>
      </c>
      <c r="D370" t="str">
        <f>VLOOKUP(A370,Sector!A:A,1,FALSE)</f>
        <v>KAPPA KAPPA GAMMA</v>
      </c>
    </row>
    <row r="371" spans="1:4" hidden="1" x14ac:dyDescent="0.3">
      <c r="A371" t="s">
        <v>7</v>
      </c>
      <c r="B371" t="str">
        <f>VLOOKUP(A371,Enrollment!A:A,1,FALSE)</f>
        <v>KIRKWOOD HALL</v>
      </c>
      <c r="C371" t="str">
        <f>VLOOKUP(A371,Building!A:A,1,FALSE)</f>
        <v>KIRKWOOD HALL</v>
      </c>
      <c r="D371" t="str">
        <f>VLOOKUP(A371,Sector!A:A,1,FALSE)</f>
        <v>KIRKWOOD HALL</v>
      </c>
    </row>
    <row r="372" spans="1:4" hidden="1" x14ac:dyDescent="0.3">
      <c r="A372" t="s">
        <v>215</v>
      </c>
      <c r="B372" t="e">
        <f>VLOOKUP(A372,Enrollment!A:A,1,FALSE)</f>
        <v>#N/A</v>
      </c>
      <c r="C372" t="str">
        <f>VLOOKUP(A372,Building!A:A,1,FALSE)</f>
        <v>KIRKWOOD OBSERVATORY</v>
      </c>
      <c r="D372" t="str">
        <f>VLOOKUP(A372,Sector!A:A,1,FALSE)</f>
        <v>KIRKWOOD OBSERVATORY</v>
      </c>
    </row>
    <row r="373" spans="1:4" hidden="1" x14ac:dyDescent="0.3">
      <c r="A373" t="s">
        <v>245</v>
      </c>
      <c r="B373" t="e">
        <f>VLOOKUP(A373,Enrollment!A:A,1,FALSE)</f>
        <v>#N/A</v>
      </c>
      <c r="C373" t="str">
        <f>VLOOKUP(A373,Building!A:A,1,FALSE)</f>
        <v>KNEE-HIGH DAYCARE</v>
      </c>
      <c r="D373" t="str">
        <f>VLOOKUP(A373,Sector!A:A,1,FALSE)</f>
        <v>KNEE-HIGH DAYCARE</v>
      </c>
    </row>
    <row r="374" spans="1:4" hidden="1" x14ac:dyDescent="0.3">
      <c r="A374" t="s">
        <v>551</v>
      </c>
      <c r="B374" t="e">
        <f>VLOOKUP(A374,Enrollment!A:A,1,FALSE)</f>
        <v>#N/A</v>
      </c>
      <c r="C374" t="str">
        <f>VLOOKUP(A374,Building!A:A,1,FALSE)</f>
        <v>LAMBDA CHI ALPHA</v>
      </c>
      <c r="D374" t="str">
        <f>VLOOKUP(A374,Sector!A:A,1,FALSE)</f>
        <v>LAMBDA CHI ALPHA</v>
      </c>
    </row>
    <row r="375" spans="1:4" hidden="1" x14ac:dyDescent="0.3">
      <c r="A375" t="s">
        <v>457</v>
      </c>
      <c r="B375" t="e">
        <f>VLOOKUP(A375,Enrollment!A:A,1,FALSE)</f>
        <v>#N/A</v>
      </c>
      <c r="C375" t="str">
        <f>VLOOKUP(A375,Building!A:A,1,FALSE)</f>
        <v>LANDSCAPE SRV 1</v>
      </c>
      <c r="D375" t="str">
        <f>VLOOKUP(A375,Sector!A:A,1,FALSE)</f>
        <v>LANDSCAPE SRV 1</v>
      </c>
    </row>
    <row r="376" spans="1:4" hidden="1" x14ac:dyDescent="0.3">
      <c r="A376" t="s">
        <v>458</v>
      </c>
      <c r="B376" t="e">
        <f>VLOOKUP(A376,Enrollment!A:A,1,FALSE)</f>
        <v>#N/A</v>
      </c>
      <c r="C376" t="str">
        <f>VLOOKUP(A376,Building!A:A,1,FALSE)</f>
        <v>LANDSCAPE SRV 2</v>
      </c>
      <c r="D376" t="e">
        <f>VLOOKUP(A376,Sector!A:A,1,FALSE)</f>
        <v>#N/A</v>
      </c>
    </row>
    <row r="377" spans="1:4" hidden="1" x14ac:dyDescent="0.3">
      <c r="A377" t="s">
        <v>459</v>
      </c>
      <c r="B377" t="e">
        <f>VLOOKUP(A377,Enrollment!A:A,1,FALSE)</f>
        <v>#N/A</v>
      </c>
      <c r="C377" t="str">
        <f>VLOOKUP(A377,Building!A:A,1,FALSE)</f>
        <v>LANDSCAPE SRV STORAGE</v>
      </c>
      <c r="D377" t="e">
        <f>VLOOKUP(A377,Sector!A:A,1,FALSE)</f>
        <v>#N/A</v>
      </c>
    </row>
    <row r="378" spans="1:4" hidden="1" x14ac:dyDescent="0.3">
      <c r="A378" t="s">
        <v>516</v>
      </c>
      <c r="B378" t="e">
        <f>VLOOKUP(A378,Enrollment!A:A,1,FALSE)</f>
        <v>#N/A</v>
      </c>
      <c r="C378" t="str">
        <f>VLOOKUP(A378,Building!A:A,1,FALSE)</f>
        <v>LANDSCAPE STORAGE 2</v>
      </c>
      <c r="D378" t="e">
        <f>VLOOKUP(A378,Sector!A:A,1,FALSE)</f>
        <v>#N/A</v>
      </c>
    </row>
    <row r="379" spans="1:4" hidden="1" x14ac:dyDescent="0.3">
      <c r="A379" t="s">
        <v>456</v>
      </c>
      <c r="B379" t="e">
        <f>VLOOKUP(A379,Enrollment!A:A,1,FALSE)</f>
        <v>#N/A</v>
      </c>
      <c r="C379" t="str">
        <f>VLOOKUP(A379,Building!A:A,1,FALSE)</f>
        <v>LANDSCAPE SVCS</v>
      </c>
      <c r="D379" t="str">
        <f>VLOOKUP(A379,Sector!A:A,1,FALSE)</f>
        <v>LANDSCAPE SVCS</v>
      </c>
    </row>
    <row r="380" spans="1:4" hidden="1" x14ac:dyDescent="0.3">
      <c r="A380" t="s">
        <v>201</v>
      </c>
      <c r="B380" t="e">
        <f>VLOOKUP(A380,Enrollment!A:A,1,FALSE)</f>
        <v>#N/A</v>
      </c>
      <c r="C380" t="str">
        <f>VLOOKUP(A380,Building!A:A,1,FALSE)</f>
        <v>LATINO CULTURAL CENTER</v>
      </c>
      <c r="D380" t="e">
        <f>VLOOKUP(A380,Sector!A:A,1,FALSE)</f>
        <v>#N/A</v>
      </c>
    </row>
    <row r="381" spans="1:4" hidden="1" x14ac:dyDescent="0.3">
      <c r="A381" t="s">
        <v>289</v>
      </c>
      <c r="B381" t="e">
        <f>VLOOKUP(A381,Enrollment!A:A,1,FALSE)</f>
        <v>#N/A</v>
      </c>
      <c r="C381" t="str">
        <f>VLOOKUP(A381,Building!A:A,1,FALSE)</f>
        <v>LEE NORVELLE THEATRE DRAMA/ NEAL&amp;MARS</v>
      </c>
      <c r="D381" t="str">
        <f>VLOOKUP(A381,Sector!A:A,1,FALSE)</f>
        <v>LEE NORVELLE THEATRE DRAMA/ NEAL&amp;MARS</v>
      </c>
    </row>
    <row r="382" spans="1:4" hidden="1" x14ac:dyDescent="0.3">
      <c r="A382" t="s">
        <v>200</v>
      </c>
      <c r="B382" t="e">
        <f>VLOOKUP(A382,Enrollment!A:A,1,FALSE)</f>
        <v>#N/A</v>
      </c>
      <c r="C382" t="str">
        <f>VLOOKUP(A382,Building!A:A,1,FALSE)</f>
        <v>LGBTQ+ CULTURE CENTER</v>
      </c>
      <c r="D382" t="e">
        <f>VLOOKUP(A382,Sector!A:A,1,FALSE)</f>
        <v>#N/A</v>
      </c>
    </row>
    <row r="383" spans="1:4" hidden="1" x14ac:dyDescent="0.3">
      <c r="A383" t="s">
        <v>152</v>
      </c>
      <c r="B383" t="str">
        <f>VLOOKUP(A383,Enrollment!A:A,1,FALSE)</f>
        <v>LILLY LIBRARY</v>
      </c>
      <c r="C383" t="str">
        <f>VLOOKUP(A383,Building!A:A,1,FALSE)</f>
        <v>LILLY LIBRARY</v>
      </c>
      <c r="D383" t="str">
        <f>VLOOKUP(A383,Sector!A:A,1,FALSE)</f>
        <v>LILLY LIBRARY</v>
      </c>
    </row>
    <row r="384" spans="1:4" hidden="1" x14ac:dyDescent="0.3">
      <c r="A384" t="s">
        <v>317</v>
      </c>
      <c r="B384" t="e">
        <f>VLOOKUP(A384,Enrollment!A:A,1,FALSE)</f>
        <v>#N/A</v>
      </c>
      <c r="C384" t="str">
        <f>VLOOKUP(A384,Building!A:A,1,FALSE)</f>
        <v>LINDEN HALL</v>
      </c>
      <c r="D384" t="str">
        <f>VLOOKUP(A384,Sector!A:A,1,FALSE)</f>
        <v>LINDEN HALL</v>
      </c>
    </row>
    <row r="385" spans="1:4" hidden="1" x14ac:dyDescent="0.3">
      <c r="A385" t="s">
        <v>9</v>
      </c>
      <c r="B385" t="str">
        <f>VLOOKUP(A385,Enrollment!A:A,1,FALSE)</f>
        <v>LINDLEY HALL</v>
      </c>
      <c r="C385" t="str">
        <f>VLOOKUP(A385,Building!A:A,1,FALSE)</f>
        <v>LINDLEY HALL</v>
      </c>
      <c r="D385" t="str">
        <f>VLOOKUP(A385,Sector!A:A,1,FALSE)</f>
        <v>LINDLEY HALL</v>
      </c>
    </row>
    <row r="386" spans="1:4" hidden="1" x14ac:dyDescent="0.3">
      <c r="A386" t="s">
        <v>40</v>
      </c>
      <c r="B386" t="str">
        <f>VLOOKUP(A386,Enrollment!A:A,1,FALSE)</f>
        <v>LOWELL E. BAIER HALL</v>
      </c>
      <c r="C386" t="str">
        <f>VLOOKUP(A386,Building!A:A,1,FALSE)</f>
        <v>LOWELL E. BAIER HALL</v>
      </c>
      <c r="D386" t="str">
        <f>VLOOKUP(A386,Sector!A:A,1,FALSE)</f>
        <v>LOWELL E. BAIER HALL</v>
      </c>
    </row>
    <row r="387" spans="1:4" hidden="1" x14ac:dyDescent="0.3">
      <c r="A387" t="s">
        <v>93</v>
      </c>
      <c r="B387" t="str">
        <f>VLOOKUP(A387,Enrollment!A:A,1,FALSE)</f>
        <v>LUDDY CENTER FOR AI</v>
      </c>
      <c r="C387" t="str">
        <f>VLOOKUP(A387,Building!A:A,1,FALSE)</f>
        <v>LUDDY CENTER FOR AI</v>
      </c>
      <c r="D387" t="str">
        <f>VLOOKUP(A387,Sector!A:A,1,FALSE)</f>
        <v>LUDDY CENTER FOR AI</v>
      </c>
    </row>
    <row r="388" spans="1:4" hidden="1" x14ac:dyDescent="0.3">
      <c r="A388" t="s">
        <v>10</v>
      </c>
      <c r="B388" t="str">
        <f>VLOOKUP(A388,Enrollment!A:A,1,FALSE)</f>
        <v>LUDDY HALL (INFORMATICS)</v>
      </c>
      <c r="C388" t="str">
        <f>VLOOKUP(A388,Building!A:A,1,FALSE)</f>
        <v>LUDDY HALL (INFORMATICS)</v>
      </c>
      <c r="D388" t="e">
        <f>VLOOKUP(A388,Sector!A:A,1,FALSE)</f>
        <v>#N/A</v>
      </c>
    </row>
    <row r="389" spans="1:4" hidden="1" x14ac:dyDescent="0.3">
      <c r="A389" t="s">
        <v>290</v>
      </c>
      <c r="B389" t="e">
        <f>VLOOKUP(A389,Enrollment!A:A,1,FALSE)</f>
        <v>#N/A</v>
      </c>
      <c r="C389" t="str">
        <f>VLOOKUP(A389,Building!A:A,1,FALSE)</f>
        <v>MAC MACHINE ROOM 100</v>
      </c>
      <c r="D389" t="str">
        <f>VLOOKUP(A389,Sector!A:A,1,FALSE)</f>
        <v>MAC MACHINE ROOM 100</v>
      </c>
    </row>
    <row r="390" spans="1:4" hidden="1" x14ac:dyDescent="0.3">
      <c r="A390" t="s">
        <v>435</v>
      </c>
      <c r="B390" t="e">
        <f>VLOOKUP(A390,Enrollment!A:A,1,FALSE)</f>
        <v>#N/A</v>
      </c>
      <c r="C390" t="str">
        <f>VLOOKUP(A390,Building!A:A,1,FALSE)</f>
        <v>MAGEE HALL</v>
      </c>
      <c r="D390" t="e">
        <f>VLOOKUP(A390,Sector!A:A,1,FALSE)</f>
        <v>#N/A</v>
      </c>
    </row>
    <row r="391" spans="1:4" hidden="1" x14ac:dyDescent="0.3">
      <c r="A391" t="s">
        <v>474</v>
      </c>
      <c r="B391" t="e">
        <f>VLOOKUP(A391,Enrollment!A:A,1,FALSE)</f>
        <v>#N/A</v>
      </c>
      <c r="C391" t="str">
        <f>VLOOKUP(A391,Building!A:A,1,FALSE)</f>
        <v>MARCHING HUNDRED HALL (RAY E CRAMER)</v>
      </c>
      <c r="D391" t="str">
        <f>VLOOKUP(A391,Sector!A:A,1,FALSE)</f>
        <v>MARCHING HUNDRED HALL (RAY E CRAMER)</v>
      </c>
    </row>
    <row r="392" spans="1:4" hidden="1" x14ac:dyDescent="0.3">
      <c r="A392" t="s">
        <v>170</v>
      </c>
      <c r="B392" t="str">
        <f>VLOOKUP(A392,Enrollment!A:A,1,FALSE)</f>
        <v>MARTIN HALL</v>
      </c>
      <c r="C392" t="str">
        <f>VLOOKUP(A392,Building!A:A,1,FALSE)</f>
        <v>MARTIN HALL</v>
      </c>
      <c r="D392" t="str">
        <f>VLOOKUP(A392,Sector!A:A,1,FALSE)</f>
        <v>MARTIN HALL</v>
      </c>
    </row>
    <row r="393" spans="1:4" hidden="1" x14ac:dyDescent="0.3">
      <c r="A393" t="s">
        <v>340</v>
      </c>
      <c r="B393" t="e">
        <f>VLOOKUP(A393,Enrollment!A:A,1,FALSE)</f>
        <v>#N/A</v>
      </c>
      <c r="C393" t="str">
        <f>VLOOKUP(A393,Building!A:A,1,FALSE)</f>
        <v>MASON HALL</v>
      </c>
      <c r="D393" t="str">
        <f>VLOOKUP(A393,Sector!A:A,1,FALSE)</f>
        <v>MASON HALL</v>
      </c>
    </row>
    <row r="394" spans="1:4" hidden="1" x14ac:dyDescent="0.3">
      <c r="A394" t="s">
        <v>183</v>
      </c>
      <c r="B394" t="str">
        <f>VLOOKUP(A394,Enrollment!A:A,1,FALSE)</f>
        <v>MAXWELL HALL</v>
      </c>
      <c r="C394" t="str">
        <f>VLOOKUP(A394,Building!A:A,1,FALSE)</f>
        <v>MAXWELL HALL</v>
      </c>
      <c r="D394" t="str">
        <f>VLOOKUP(A394,Sector!A:A,1,FALSE)</f>
        <v>MAXWELL HALL</v>
      </c>
    </row>
    <row r="395" spans="1:4" hidden="1" x14ac:dyDescent="0.3">
      <c r="A395" t="s">
        <v>158</v>
      </c>
      <c r="B395" t="str">
        <f>VLOOKUP(A395,Enrollment!A:A,1,FALSE)</f>
        <v>MCCALLA</v>
      </c>
      <c r="C395" t="str">
        <f>VLOOKUP(A395,Building!A:A,1,FALSE)</f>
        <v>MCCALLA</v>
      </c>
      <c r="D395" t="str">
        <f>VLOOKUP(A395,Sector!A:A,1,FALSE)</f>
        <v>MCCALLA</v>
      </c>
    </row>
    <row r="396" spans="1:4" hidden="1" x14ac:dyDescent="0.3">
      <c r="A396" t="s">
        <v>97</v>
      </c>
      <c r="B396" t="str">
        <f>VLOOKUP(A396,Enrollment!A:A,1,FALSE)</f>
        <v>MCNUTT CENTRAL</v>
      </c>
      <c r="C396" t="str">
        <f>VLOOKUP(A396,Building!A:A,1,FALSE)</f>
        <v>MCNUTT CENTRAL</v>
      </c>
      <c r="D396" t="str">
        <f>VLOOKUP(A396,Sector!A:A,1,FALSE)</f>
        <v>MCNUTT CENTRAL</v>
      </c>
    </row>
    <row r="397" spans="1:4" hidden="1" x14ac:dyDescent="0.3">
      <c r="A397" t="s">
        <v>428</v>
      </c>
      <c r="B397" t="e">
        <f>VLOOKUP(A397,Enrollment!A:A,1,FALSE)</f>
        <v>#N/A</v>
      </c>
      <c r="C397" t="str">
        <f>VLOOKUP(A397,Building!A:A,1,FALSE)</f>
        <v>MCNUTT NORTH</v>
      </c>
      <c r="D397" t="str">
        <f>VLOOKUP(A397,Sector!A:A,1,FALSE)</f>
        <v>MCNUTT NORTH</v>
      </c>
    </row>
    <row r="398" spans="1:4" hidden="1" x14ac:dyDescent="0.3">
      <c r="A398" t="s">
        <v>430</v>
      </c>
      <c r="B398" t="e">
        <f>VLOOKUP(A398,Enrollment!A:A,1,FALSE)</f>
        <v>#N/A</v>
      </c>
      <c r="C398" t="str">
        <f>VLOOKUP(A398,Building!A:A,1,FALSE)</f>
        <v>MCNUTT SOUTH</v>
      </c>
      <c r="D398" t="str">
        <f>VLOOKUP(A398,Sector!A:A,1,FALSE)</f>
        <v>MCNUTT SOUTH</v>
      </c>
    </row>
    <row r="399" spans="1:4" hidden="1" x14ac:dyDescent="0.3">
      <c r="A399" t="s">
        <v>473</v>
      </c>
      <c r="B399" t="e">
        <f>VLOOKUP(A399,Enrollment!A:A,1,FALSE)</f>
        <v>#N/A</v>
      </c>
      <c r="C399" t="str">
        <f>VLOOKUP(A399,Building!A:A,1,FALSE)</f>
        <v>MELLENCAMP PAVILION</v>
      </c>
      <c r="D399" t="str">
        <f>VLOOKUP(A399,Sector!A:A,1,FALSE)</f>
        <v>MELLENCAMP PAVILION</v>
      </c>
    </row>
    <row r="400" spans="1:4" hidden="1" x14ac:dyDescent="0.3">
      <c r="A400" t="s">
        <v>285</v>
      </c>
      <c r="B400" t="e">
        <f>VLOOKUP(A400,Enrollment!A:A,1,FALSE)</f>
        <v>#N/A</v>
      </c>
      <c r="C400" t="str">
        <f>VLOOKUP(A400,Building!A:A,1,FALSE)</f>
        <v>MEMORIAL HALL</v>
      </c>
      <c r="D400" t="str">
        <f>VLOOKUP(A400,Sector!A:A,1,FALSE)</f>
        <v>MEMORIAL HALL</v>
      </c>
    </row>
    <row r="401" spans="1:4" hidden="1" x14ac:dyDescent="0.3">
      <c r="A401" t="s">
        <v>478</v>
      </c>
      <c r="B401" t="e">
        <f>VLOOKUP(A401,Enrollment!A:A,1,FALSE)</f>
        <v>#N/A</v>
      </c>
      <c r="C401" t="str">
        <f>VLOOKUP(A401,Building!A:A,1,FALSE)</f>
        <v>MEMORIAL STADIUM</v>
      </c>
      <c r="D401" t="str">
        <f>VLOOKUP(A401,Sector!A:A,1,FALSE)</f>
        <v>MEMORIAL STADIUM</v>
      </c>
    </row>
    <row r="402" spans="1:4" hidden="1" x14ac:dyDescent="0.3">
      <c r="A402" t="s">
        <v>99</v>
      </c>
      <c r="B402" t="str">
        <f>VLOOKUP(A402,Enrollment!A:A,1,FALSE)</f>
        <v>MERRILL HALL</v>
      </c>
      <c r="C402" t="str">
        <f>VLOOKUP(A402,Building!A:A,1,FALSE)</f>
        <v>MERRILL HALL</v>
      </c>
      <c r="D402" t="str">
        <f>VLOOKUP(A402,Sector!A:A,1,FALSE)</f>
        <v>MERRILL HALL</v>
      </c>
    </row>
    <row r="403" spans="1:4" hidden="1" x14ac:dyDescent="0.3">
      <c r="A403" t="s">
        <v>501</v>
      </c>
      <c r="B403" t="e">
        <f>VLOOKUP(A403,Enrollment!A:A,1,FALSE)</f>
        <v>#N/A</v>
      </c>
      <c r="C403" t="str">
        <f>VLOOKUP(A403,Building!A:A,1,FALSE)</f>
        <v>MESH STOR2</v>
      </c>
      <c r="D403" t="str">
        <f>VLOOKUP(A403,Sector!A:A,1,FALSE)</f>
        <v>MESH STOR2</v>
      </c>
    </row>
    <row r="404" spans="1:4" hidden="1" x14ac:dyDescent="0.3">
      <c r="A404" t="s">
        <v>500</v>
      </c>
      <c r="B404" t="e">
        <f>VLOOKUP(A404,Enrollment!A:A,1,FALSE)</f>
        <v>#N/A</v>
      </c>
      <c r="C404" t="str">
        <f>VLOOKUP(A404,Building!A:A,1,FALSE)</f>
        <v>MESH STORAGE</v>
      </c>
      <c r="D404" t="str">
        <f>VLOOKUP(A404,Sector!A:A,1,FALSE)</f>
        <v>MESH STORAGE</v>
      </c>
    </row>
    <row r="405" spans="1:4" hidden="1" x14ac:dyDescent="0.3">
      <c r="A405" t="s">
        <v>460</v>
      </c>
      <c r="B405" t="e">
        <f>VLOOKUP(A405,Enrollment!A:A,1,FALSE)</f>
        <v>#N/A</v>
      </c>
      <c r="C405" t="str">
        <f>VLOOKUP(A405,Building!A:A,1,FALSE)</f>
        <v>MOBILE OFFICE</v>
      </c>
      <c r="D405" t="str">
        <f>VLOOKUP(A405,Sector!A:A,1,FALSE)</f>
        <v>MOBILE OFFICE</v>
      </c>
    </row>
    <row r="406" spans="1:4" hidden="1" x14ac:dyDescent="0.3">
      <c r="A406" t="s">
        <v>322</v>
      </c>
      <c r="B406" t="e">
        <f>VLOOKUP(A406,Enrollment!A:A,1,FALSE)</f>
        <v>#N/A</v>
      </c>
      <c r="C406" t="str">
        <f>VLOOKUP(A406,Building!A:A,1,FALSE)</f>
        <v>MOFFAT HALL</v>
      </c>
      <c r="D406" t="str">
        <f>VLOOKUP(A406,Sector!A:A,1,FALSE)</f>
        <v>MOFFAT HALL</v>
      </c>
    </row>
    <row r="407" spans="1:4" hidden="1" x14ac:dyDescent="0.3">
      <c r="A407" t="s">
        <v>540</v>
      </c>
      <c r="B407" t="e">
        <f>VLOOKUP(A407,Enrollment!A:A,1,FALSE)</f>
        <v>#N/A</v>
      </c>
      <c r="C407" t="str">
        <f>VLOOKUP(A407,Building!A:A,1,FALSE)</f>
        <v>MONROE CO GOVT CENTER-SHOWERS</v>
      </c>
      <c r="D407" t="str">
        <f>VLOOKUP(A407,Sector!A:A,1,FALSE)</f>
        <v>MONROE CO GOVT CENTER-SHOWERS</v>
      </c>
    </row>
    <row r="408" spans="1:4" hidden="1" x14ac:dyDescent="0.3">
      <c r="A408" t="s">
        <v>101</v>
      </c>
      <c r="B408" t="str">
        <f>VLOOKUP(A408,Enrollment!A:A,1,FALSE)</f>
        <v>MORRISON HALL</v>
      </c>
      <c r="C408" t="str">
        <f>VLOOKUP(A408,Building!A:A,1,FALSE)</f>
        <v>MORRISON HALL</v>
      </c>
      <c r="D408" t="str">
        <f>VLOOKUP(A408,Sector!A:A,1,FALSE)</f>
        <v>MORRISON HALL</v>
      </c>
    </row>
    <row r="409" spans="1:4" hidden="1" x14ac:dyDescent="0.3">
      <c r="A409" t="s">
        <v>512</v>
      </c>
      <c r="B409" t="e">
        <f>VLOOKUP(A409,Enrollment!A:A,1,FALSE)</f>
        <v>#N/A</v>
      </c>
      <c r="C409" t="str">
        <f>VLOOKUP(A409,Building!A:A,1,FALSE)</f>
        <v>MOTOR POOL</v>
      </c>
      <c r="D409" t="str">
        <f>VLOOKUP(A409,Sector!A:A,1,FALSE)</f>
        <v>MOTOR POOL</v>
      </c>
    </row>
    <row r="410" spans="1:4" x14ac:dyDescent="0.3">
      <c r="A410" t="s">
        <v>171</v>
      </c>
      <c r="B410" t="str">
        <f>VLOOKUP(A410,Enrollment!A:A,1,FALSE)</f>
        <v>MULTI SCIENCE 2</v>
      </c>
      <c r="C410" t="str">
        <f>VLOOKUP(A410,Building!A:A,1,FALSE)</f>
        <v>MULTI SCIENCE 2</v>
      </c>
      <c r="D410" t="str">
        <f>VLOOKUP(A410,Sector!A:A,1,FALSE)</f>
        <v>MULTI SCIENCE 2</v>
      </c>
    </row>
    <row r="411" spans="1:4" x14ac:dyDescent="0.3">
      <c r="A411" t="s">
        <v>499</v>
      </c>
      <c r="B411" t="e">
        <f>VLOOKUP(A411,Enrollment!A:A,1,FALSE)</f>
        <v>#N/A</v>
      </c>
      <c r="C411" t="str">
        <f>VLOOKUP(A411,Building!A:A,1,FALSE)</f>
        <v>MULTIDISCIPLINARY ENG AND SCI HALL-MESH</v>
      </c>
      <c r="D411" t="str">
        <f>VLOOKUP(A411,Sector!A:A,1,FALSE)</f>
        <v>MULTIDISCIPLINARY ENG AND SCI HALL-MESH</v>
      </c>
    </row>
    <row r="412" spans="1:4" hidden="1" x14ac:dyDescent="0.3">
      <c r="A412" t="s">
        <v>102</v>
      </c>
      <c r="B412" t="str">
        <f>VLOOKUP(A412,Enrollment!A:A,1,FALSE)</f>
        <v>MUSIC ADDITION</v>
      </c>
      <c r="C412" t="str">
        <f>VLOOKUP(A412,Building!A:A,1,FALSE)</f>
        <v>MUSIC ADDITION</v>
      </c>
      <c r="D412" t="str">
        <f>VLOOKUP(A412,Sector!A:A,1,FALSE)</f>
        <v>MUSIC ADDITION</v>
      </c>
    </row>
    <row r="413" spans="1:4" hidden="1" x14ac:dyDescent="0.3">
      <c r="A413" t="s">
        <v>286</v>
      </c>
      <c r="B413" t="e">
        <f>VLOOKUP(A413,Enrollment!A:A,1,FALSE)</f>
        <v>#N/A</v>
      </c>
      <c r="C413" t="str">
        <f>VLOOKUP(A413,Building!A:A,1,FALSE)</f>
        <v>MUSIC PRACTICE</v>
      </c>
      <c r="D413" t="str">
        <f>VLOOKUP(A413,Sector!A:A,1,FALSE)</f>
        <v>MUSIC PRACTICE</v>
      </c>
    </row>
    <row r="414" spans="1:4" hidden="1" x14ac:dyDescent="0.3">
      <c r="A414" t="s">
        <v>103</v>
      </c>
      <c r="B414" t="str">
        <f>VLOOKUP(A414,Enrollment!A:A,1,FALSE)</f>
        <v>MUSICAL ARTS CENTER</v>
      </c>
      <c r="C414" t="str">
        <f>VLOOKUP(A414,Building!A:A,1,FALSE)</f>
        <v>MUSICAL ARTS CENTER</v>
      </c>
      <c r="D414" t="str">
        <f>VLOOKUP(A414,Sector!A:A,1,FALSE)</f>
        <v>MUSICAL ARTS CENTER</v>
      </c>
    </row>
    <row r="415" spans="1:4" hidden="1" x14ac:dyDescent="0.3">
      <c r="A415" t="s">
        <v>104</v>
      </c>
      <c r="B415" t="str">
        <f>VLOOKUP(A415,Enrollment!A:A,1,FALSE)</f>
        <v>MYERS HALL</v>
      </c>
      <c r="C415" t="str">
        <f>VLOOKUP(A415,Building!A:A,1,FALSE)</f>
        <v>MYERS HALL</v>
      </c>
      <c r="D415" t="e">
        <f>VLOOKUP(A415,Sector!A:A,1,FALSE)</f>
        <v>#N/A</v>
      </c>
    </row>
    <row r="416" spans="1:4" hidden="1" x14ac:dyDescent="0.3">
      <c r="A416" t="s">
        <v>105</v>
      </c>
      <c r="B416" t="str">
        <f>VLOOKUP(A416,Enrollment!A:A,1,FALSE)</f>
        <v>MYLES BRAND HALL</v>
      </c>
      <c r="C416" t="str">
        <f>VLOOKUP(A416,Building!A:A,1,FALSE)</f>
        <v>MYLES BRAND HALL</v>
      </c>
      <c r="D416" t="str">
        <f>VLOOKUP(A416,Sector!A:A,1,FALSE)</f>
        <v>MYLES BRAND HALL</v>
      </c>
    </row>
    <row r="417" spans="1:4" hidden="1" x14ac:dyDescent="0.3">
      <c r="A417" t="s">
        <v>421</v>
      </c>
      <c r="B417" t="e">
        <f>VLOOKUP(A417,Enrollment!A:A,1,FALSE)</f>
        <v>#N/A</v>
      </c>
      <c r="C417" t="str">
        <f>VLOOKUP(A417,Building!A:A,1,FALSE)</f>
        <v>N WOODLAWN CHILLER PLANT</v>
      </c>
      <c r="D417" t="str">
        <f>VLOOKUP(A417,Sector!A:A,1,FALSE)</f>
        <v>N WOODLAWN CHILLER PLANT</v>
      </c>
    </row>
    <row r="418" spans="1:4" hidden="1" x14ac:dyDescent="0.3">
      <c r="A418" t="s">
        <v>437</v>
      </c>
      <c r="B418" t="e">
        <f>VLOOKUP(A418,Enrollment!A:A,1,FALSE)</f>
        <v>#N/A</v>
      </c>
      <c r="C418" t="str">
        <f>VLOOKUP(A418,Building!A:A,1,FALSE)</f>
        <v>NELSON RPS ADMIN.</v>
      </c>
      <c r="D418" t="str">
        <f>VLOOKUP(A418,Sector!A:A,1,FALSE)</f>
        <v>NELSON RPS ADMIN.</v>
      </c>
    </row>
    <row r="419" spans="1:4" hidden="1" x14ac:dyDescent="0.3">
      <c r="A419" t="s">
        <v>109</v>
      </c>
      <c r="B419" t="str">
        <f>VLOOKUP(A419,Enrollment!A:A,1,FALSE)</f>
        <v>OPTOMETRY SCHOOL</v>
      </c>
      <c r="C419" t="str">
        <f>VLOOKUP(A419,Building!A:A,1,FALSE)</f>
        <v>OPTOMETRY SCHOOL</v>
      </c>
      <c r="D419" t="str">
        <f>VLOOKUP(A419,Sector!A:A,1,FALSE)</f>
        <v>OPTOMETRY SCHOOL</v>
      </c>
    </row>
    <row r="420" spans="1:4" hidden="1" x14ac:dyDescent="0.3">
      <c r="A420" t="s">
        <v>481</v>
      </c>
      <c r="B420" t="e">
        <f>VLOOKUP(A420,Enrollment!A:A,1,FALSE)</f>
        <v>#N/A</v>
      </c>
      <c r="C420" t="str">
        <f>VLOOKUP(A420,Building!A:A,1,FALSE)</f>
        <v>OUTDOOR POOL</v>
      </c>
      <c r="D420" t="str">
        <f>VLOOKUP(A420,Sector!A:A,1,FALSE)</f>
        <v>OUTDOOR POOL</v>
      </c>
    </row>
    <row r="421" spans="1:4" hidden="1" x14ac:dyDescent="0.3">
      <c r="A421" t="s">
        <v>276</v>
      </c>
      <c r="B421" t="e">
        <f>VLOOKUP(A421,Enrollment!A:A,1,FALSE)</f>
        <v>#N/A</v>
      </c>
      <c r="C421" t="str">
        <f>VLOOKUP(A421,Building!A:A,1,FALSE)</f>
        <v>OWEN HALL</v>
      </c>
      <c r="D421" t="str">
        <f>VLOOKUP(A421,Sector!A:A,1,FALSE)</f>
        <v>OWEN HALL</v>
      </c>
    </row>
    <row r="422" spans="1:4" hidden="1" x14ac:dyDescent="0.3">
      <c r="A422" t="s">
        <v>442</v>
      </c>
      <c r="B422" t="e">
        <f>VLOOKUP(A422,Enrollment!A:A,1,FALSE)</f>
        <v>#N/A</v>
      </c>
      <c r="C422" t="str">
        <f>VLOOKUP(A422,Building!A:A,1,FALSE)</f>
        <v>PARKING BOOTH</v>
      </c>
      <c r="D422" t="str">
        <f>VLOOKUP(A422,Sector!A:A,1,FALSE)</f>
        <v>PARKING BOOTH</v>
      </c>
    </row>
    <row r="423" spans="1:4" hidden="1" x14ac:dyDescent="0.3">
      <c r="A423" t="s">
        <v>427</v>
      </c>
      <c r="B423" t="e">
        <f>VLOOKUP(A423,Enrollment!A:A,1,FALSE)</f>
        <v>#N/A</v>
      </c>
      <c r="C423" t="str">
        <f>VLOOKUP(A423,Building!A:A,1,FALSE)</f>
        <v>PERSIMMON A &amp; B</v>
      </c>
      <c r="D423" t="str">
        <f>VLOOKUP(A423,Sector!A:A,1,FALSE)</f>
        <v>PERSIMMON A &amp; B</v>
      </c>
    </row>
    <row r="424" spans="1:4" hidden="1" x14ac:dyDescent="0.3">
      <c r="A424" t="s">
        <v>563</v>
      </c>
      <c r="B424" t="e">
        <f>VLOOKUP(A424,Enrollment!A:A,1,FALSE)</f>
        <v>#N/A</v>
      </c>
      <c r="C424" t="str">
        <f>VLOOKUP(A424,Building!A:A,1,FALSE)</f>
        <v>PHI DELTA THETA</v>
      </c>
      <c r="D424" t="str">
        <f>VLOOKUP(A424,Sector!A:A,1,FALSE)</f>
        <v>PHI DELTA THETA</v>
      </c>
    </row>
    <row r="425" spans="1:4" hidden="1" x14ac:dyDescent="0.3">
      <c r="A425" t="s">
        <v>582</v>
      </c>
      <c r="B425" t="e">
        <f>VLOOKUP(A425,Enrollment!A:A,1,FALSE)</f>
        <v>#N/A</v>
      </c>
      <c r="C425" t="str">
        <f>VLOOKUP(A425,Building!A:A,1,FALSE)</f>
        <v>PHI GAMMA DELTA-NEW</v>
      </c>
      <c r="D425" t="e">
        <f>VLOOKUP(A425,Sector!A:A,1,FALSE)</f>
        <v>#N/A</v>
      </c>
    </row>
    <row r="426" spans="1:4" hidden="1" x14ac:dyDescent="0.3">
      <c r="A426" t="s">
        <v>564</v>
      </c>
      <c r="B426" t="e">
        <f>VLOOKUP(A426,Enrollment!A:A,1,FALSE)</f>
        <v>#N/A</v>
      </c>
      <c r="C426" t="str">
        <f>VLOOKUP(A426,Building!A:A,1,FALSE)</f>
        <v>PHI KAPPA PSI</v>
      </c>
      <c r="D426" t="e">
        <f>VLOOKUP(A426,Sector!A:A,1,FALSE)</f>
        <v>#N/A</v>
      </c>
    </row>
    <row r="427" spans="1:4" hidden="1" x14ac:dyDescent="0.3">
      <c r="A427" t="s">
        <v>574</v>
      </c>
      <c r="B427" t="e">
        <f>VLOOKUP(A427,Enrollment!A:A,1,FALSE)</f>
        <v>#N/A</v>
      </c>
      <c r="C427" t="str">
        <f>VLOOKUP(A427,Building!A:A,1,FALSE)</f>
        <v>PHI MU</v>
      </c>
      <c r="D427" t="str">
        <f>VLOOKUP(A427,Sector!A:A,1,FALSE)</f>
        <v>PHI MU</v>
      </c>
    </row>
    <row r="428" spans="1:4" hidden="1" x14ac:dyDescent="0.3">
      <c r="A428" t="s">
        <v>597</v>
      </c>
      <c r="B428" t="e">
        <f>VLOOKUP(A428,Enrollment!A:A,1,FALSE)</f>
        <v>#N/A</v>
      </c>
      <c r="C428" t="str">
        <f>VLOOKUP(A428,Building!A:A,1,FALSE)</f>
        <v>PHI SIGMA KAPPA</v>
      </c>
      <c r="D428" t="str">
        <f>VLOOKUP(A428,Sector!A:A,1,FALSE)</f>
        <v>PHI SIGMA KAPPA</v>
      </c>
    </row>
    <row r="429" spans="1:4" hidden="1" x14ac:dyDescent="0.3">
      <c r="A429" t="s">
        <v>548</v>
      </c>
      <c r="B429" t="e">
        <f>VLOOKUP(A429,Enrollment!A:A,1,FALSE)</f>
        <v>#N/A</v>
      </c>
      <c r="C429" t="str">
        <f>VLOOKUP(A429,Building!A:A,1,FALSE)</f>
        <v>PI BETA PHI</v>
      </c>
      <c r="D429" t="e">
        <f>VLOOKUP(A429,Sector!A:A,1,FALSE)</f>
        <v>#N/A</v>
      </c>
    </row>
    <row r="430" spans="1:4" hidden="1" x14ac:dyDescent="0.3">
      <c r="A430" t="s">
        <v>576</v>
      </c>
      <c r="B430" t="e">
        <f>VLOOKUP(A430,Enrollment!A:A,1,FALSE)</f>
        <v>#N/A</v>
      </c>
      <c r="C430" t="str">
        <f>VLOOKUP(A430,Building!A:A,1,FALSE)</f>
        <v>PI KAPPA PHI</v>
      </c>
      <c r="D430" t="e">
        <f>VLOOKUP(A430,Sector!A:A,1,FALSE)</f>
        <v>#N/A</v>
      </c>
    </row>
    <row r="431" spans="1:4" hidden="1" x14ac:dyDescent="0.3">
      <c r="A431" t="s">
        <v>320</v>
      </c>
      <c r="B431" t="e">
        <f>VLOOKUP(A431,Enrollment!A:A,1,FALSE)</f>
        <v>#N/A</v>
      </c>
      <c r="C431" t="str">
        <f>VLOOKUP(A431,Building!A:A,1,FALSE)</f>
        <v>PINE HALL</v>
      </c>
      <c r="D431" t="e">
        <f>VLOOKUP(A431,Sector!A:A,1,FALSE)</f>
        <v>#N/A</v>
      </c>
    </row>
    <row r="432" spans="1:4" hidden="1" x14ac:dyDescent="0.3">
      <c r="A432" t="s">
        <v>449</v>
      </c>
      <c r="B432" t="e">
        <f>VLOOKUP(A432,Enrollment!A:A,1,FALSE)</f>
        <v>#N/A</v>
      </c>
      <c r="C432" t="str">
        <f>VLOOKUP(A432,Building!A:A,1,FALSE)</f>
        <v>POLE BARN A</v>
      </c>
      <c r="D432" t="e">
        <f>VLOOKUP(A432,Sector!A:A,1,FALSE)</f>
        <v>#N/A</v>
      </c>
    </row>
    <row r="433" spans="1:4" hidden="1" x14ac:dyDescent="0.3">
      <c r="A433" t="s">
        <v>450</v>
      </c>
      <c r="B433" t="e">
        <f>VLOOKUP(A433,Enrollment!A:A,1,FALSE)</f>
        <v>#N/A</v>
      </c>
      <c r="C433" t="str">
        <f>VLOOKUP(A433,Building!A:A,1,FALSE)</f>
        <v>POLE BARN B</v>
      </c>
      <c r="D433" t="str">
        <f>VLOOKUP(A433,Sector!A:A,1,FALSE)</f>
        <v>POLE BARN B</v>
      </c>
    </row>
    <row r="434" spans="1:4" hidden="1" x14ac:dyDescent="0.3">
      <c r="A434" t="s">
        <v>561</v>
      </c>
      <c r="B434" t="e">
        <f>VLOOKUP(A434,Enrollment!A:A,1,FALSE)</f>
        <v>#N/A</v>
      </c>
      <c r="C434" t="str">
        <f>VLOOKUP(A434,Building!A:A,1,FALSE)</f>
        <v>POLICE DPT IUPD</v>
      </c>
      <c r="D434" t="str">
        <f>VLOOKUP(A434,Sector!A:A,1,FALSE)</f>
        <v>POLICE DPT IUPD</v>
      </c>
    </row>
    <row r="435" spans="1:4" hidden="1" x14ac:dyDescent="0.3">
      <c r="A435" t="s">
        <v>190</v>
      </c>
      <c r="B435" t="e">
        <f>VLOOKUP(A435,Enrollment!A:A,1,FALSE)</f>
        <v>#N/A</v>
      </c>
      <c r="C435" t="str">
        <f>VLOOKUP(A435,Building!A:A,1,FALSE)</f>
        <v>POPLARS PARKING</v>
      </c>
      <c r="D435" t="str">
        <f>VLOOKUP(A435,Sector!A:A,1,FALSE)</f>
        <v>POPLARS PARKING</v>
      </c>
    </row>
    <row r="436" spans="1:4" hidden="1" x14ac:dyDescent="0.3">
      <c r="A436" t="s">
        <v>11</v>
      </c>
      <c r="B436" t="str">
        <f>VLOOKUP(A436,Enrollment!A:A,1,FALSE)</f>
        <v>PSYCHOLOGY</v>
      </c>
      <c r="C436" t="str">
        <f>VLOOKUP(A436,Building!A:A,1,FALSE)</f>
        <v>PSYCHOLOGY</v>
      </c>
      <c r="D436" t="str">
        <f>VLOOKUP(A436,Sector!A:A,1,FALSE)</f>
        <v>PSYCHOLOGY</v>
      </c>
    </row>
    <row r="437" spans="1:4" hidden="1" x14ac:dyDescent="0.3">
      <c r="A437" t="s">
        <v>112</v>
      </c>
      <c r="B437" t="str">
        <f>VLOOKUP(A437,Enrollment!A:A,1,FALSE)</f>
        <v>RADIO-TV</v>
      </c>
      <c r="C437" t="str">
        <f>VLOOKUP(A437,Building!A:A,1,FALSE)</f>
        <v>RADIO-TV</v>
      </c>
      <c r="D437" t="str">
        <f>VLOOKUP(A437,Sector!A:A,1,FALSE)</f>
        <v>RADIO-TV</v>
      </c>
    </row>
    <row r="438" spans="1:4" hidden="1" x14ac:dyDescent="0.3">
      <c r="A438" t="s">
        <v>114</v>
      </c>
      <c r="B438" t="str">
        <f>VLOOKUP(A438,Enrollment!A:A,1,FALSE)</f>
        <v>RAWLES HALL</v>
      </c>
      <c r="C438" t="str">
        <f>VLOOKUP(A438,Building!A:A,1,FALSE)</f>
        <v>RAWLES HALL</v>
      </c>
      <c r="D438" t="str">
        <f>VLOOKUP(A438,Sector!A:A,1,FALSE)</f>
        <v>RAWLES HALL</v>
      </c>
    </row>
    <row r="439" spans="1:4" hidden="1" x14ac:dyDescent="0.3">
      <c r="A439" t="s">
        <v>115</v>
      </c>
      <c r="B439" t="str">
        <f>VLOOKUP(A439,Enrollment!A:A,1,FALSE)</f>
        <v>READ HALL</v>
      </c>
      <c r="C439" t="str">
        <f>VLOOKUP(A439,Building!A:A,1,FALSE)</f>
        <v>READ HALL</v>
      </c>
      <c r="D439" t="str">
        <f>VLOOKUP(A439,Sector!A:A,1,FALSE)</f>
        <v>READ HALL</v>
      </c>
    </row>
    <row r="440" spans="1:4" hidden="1" x14ac:dyDescent="0.3">
      <c r="A440" t="s">
        <v>116</v>
      </c>
      <c r="B440" t="str">
        <f>VLOOKUP(A440,Enrollment!A:A,1,FALSE)</f>
        <v>RECREATIONAL SPORTS</v>
      </c>
      <c r="C440" t="str">
        <f>VLOOKUP(A440,Building!A:A,1,FALSE)</f>
        <v>RECREATIONAL SPORTS</v>
      </c>
      <c r="D440" t="str">
        <f>VLOOKUP(A440,Sector!A:A,1,FALSE)</f>
        <v>RECREATIONAL SPORTS</v>
      </c>
    </row>
    <row r="441" spans="1:4" hidden="1" x14ac:dyDescent="0.3">
      <c r="A441" t="s">
        <v>511</v>
      </c>
      <c r="B441" t="e">
        <f>VLOOKUP(A441,Enrollment!A:A,1,FALSE)</f>
        <v>#N/A</v>
      </c>
      <c r="C441" t="str">
        <f>VLOOKUP(A441,Building!A:A,1,FALSE)</f>
        <v>RESEARCH &amp; TEACHING PRESERVE</v>
      </c>
      <c r="D441" t="e">
        <f>VLOOKUP(A441,Sector!A:A,1,FALSE)</f>
        <v>#N/A</v>
      </c>
    </row>
    <row r="442" spans="1:4" hidden="1" x14ac:dyDescent="0.3">
      <c r="A442" t="s">
        <v>452</v>
      </c>
      <c r="B442" t="e">
        <f>VLOOKUP(A442,Enrollment!A:A,1,FALSE)</f>
        <v>#N/A</v>
      </c>
      <c r="C442" t="str">
        <f>VLOOKUP(A442,Building!A:A,1,FALSE)</f>
        <v>RESEARCH LAB</v>
      </c>
      <c r="D442" t="e">
        <f>VLOOKUP(A442,Sector!A:A,1,FALSE)</f>
        <v>#N/A</v>
      </c>
    </row>
    <row r="443" spans="1:4" hidden="1" x14ac:dyDescent="0.3">
      <c r="A443" t="s">
        <v>389</v>
      </c>
      <c r="B443" t="e">
        <f>VLOOKUP(A443,Enrollment!A:A,1,FALSE)</f>
        <v>#N/A</v>
      </c>
      <c r="C443" t="str">
        <f>VLOOKUP(A443,Building!A:A,1,FALSE)</f>
        <v>RESEARCH SVC. BLDG.</v>
      </c>
      <c r="D443" t="str">
        <f>VLOOKUP(A443,Sector!A:A,1,FALSE)</f>
        <v>RESEARCH SVC. BLDG.</v>
      </c>
    </row>
    <row r="444" spans="1:4" hidden="1" x14ac:dyDescent="0.3">
      <c r="A444" t="s">
        <v>443</v>
      </c>
      <c r="B444" t="e">
        <f>VLOOKUP(A444,Enrollment!A:A,1,FALSE)</f>
        <v>#N/A</v>
      </c>
      <c r="C444" t="str">
        <f>VLOOKUP(A444,Building!A:A,1,FALSE)</f>
        <v>ROGERS HL ELEV PUMP</v>
      </c>
      <c r="D444" t="str">
        <f>VLOOKUP(A444,Sector!A:A,1,FALSE)</f>
        <v>ROGERS HL ELEV PUMP</v>
      </c>
    </row>
    <row r="445" spans="1:4" hidden="1" x14ac:dyDescent="0.3">
      <c r="A445" t="s">
        <v>230</v>
      </c>
      <c r="B445" t="e">
        <f>VLOOKUP(A445,Enrollment!A:A,1,FALSE)</f>
        <v>#N/A</v>
      </c>
      <c r="C445" t="str">
        <f>VLOOKUP(A445,Building!A:A,1,FALSE)</f>
        <v>ROSE WELL HOUSE</v>
      </c>
      <c r="D445" t="str">
        <f>VLOOKUP(A445,Sector!A:A,1,FALSE)</f>
        <v>ROSE WELL HOUSE</v>
      </c>
    </row>
    <row r="446" spans="1:4" hidden="1" x14ac:dyDescent="0.3">
      <c r="A446" t="s">
        <v>467</v>
      </c>
      <c r="B446" t="e">
        <f>VLOOKUP(A446,Enrollment!A:A,1,FALSE)</f>
        <v>#N/A</v>
      </c>
      <c r="C446" t="str">
        <f>VLOOKUP(A446,Building!A:A,1,FALSE)</f>
        <v>ROTC SUPPLY CENTER</v>
      </c>
      <c r="D446" t="str">
        <f>VLOOKUP(A446,Sector!A:A,1,FALSE)</f>
        <v>ROTC SUPPLY CENTER</v>
      </c>
    </row>
    <row r="447" spans="1:4" hidden="1" x14ac:dyDescent="0.3">
      <c r="A447" t="s">
        <v>585</v>
      </c>
      <c r="B447" t="e">
        <f>VLOOKUP(A447,Enrollment!A:A,1,FALSE)</f>
        <v>#N/A</v>
      </c>
      <c r="C447" t="str">
        <f>VLOOKUP(A447,Building!A:A,1,FALSE)</f>
        <v>SCCAP GREENHOUSE</v>
      </c>
      <c r="D447" t="str">
        <f>VLOOKUP(A447,Sector!A:A,1,FALSE)</f>
        <v>SCCAP GREENHOUSE</v>
      </c>
    </row>
    <row r="448" spans="1:4" hidden="1" x14ac:dyDescent="0.3">
      <c r="A448" t="s">
        <v>12</v>
      </c>
      <c r="B448" t="str">
        <f>VLOOKUP(A448,Enrollment!A:A,1,FALSE)</f>
        <v>SCHOOL OF PUBLIC HEALTH</v>
      </c>
      <c r="C448" t="str">
        <f>VLOOKUP(A448,Building!A:A,1,FALSE)</f>
        <v>SCHOOL OF PUBLIC HEALTH</v>
      </c>
      <c r="D448" t="e">
        <f>VLOOKUP(A448,Sector!A:A,1,FALSE)</f>
        <v>#N/A</v>
      </c>
    </row>
    <row r="449" spans="1:4" hidden="1" x14ac:dyDescent="0.3">
      <c r="A449" t="s">
        <v>490</v>
      </c>
      <c r="B449" t="e">
        <f>VLOOKUP(A449,Enrollment!A:A,1,FALSE)</f>
        <v>#N/A</v>
      </c>
      <c r="C449" t="str">
        <f>VLOOKUP(A449,Building!A:A,1,FALSE)</f>
        <v>SEMBOWER CONCESSION</v>
      </c>
      <c r="D449" t="str">
        <f>VLOOKUP(A449,Sector!A:A,1,FALSE)</f>
        <v>SEMBOWER CONCESSION</v>
      </c>
    </row>
    <row r="450" spans="1:4" hidden="1" x14ac:dyDescent="0.3">
      <c r="A450" t="s">
        <v>491</v>
      </c>
      <c r="B450" t="e">
        <f>VLOOKUP(A450,Enrollment!A:A,1,FALSE)</f>
        <v>#N/A</v>
      </c>
      <c r="C450" t="str">
        <f>VLOOKUP(A450,Building!A:A,1,FALSE)</f>
        <v>SEMBOWER E PRESSBOX</v>
      </c>
      <c r="D450" t="str">
        <f>VLOOKUP(A450,Sector!A:A,1,FALSE)</f>
        <v>SEMBOWER E PRESSBOX</v>
      </c>
    </row>
    <row r="451" spans="1:4" hidden="1" x14ac:dyDescent="0.3">
      <c r="A451" t="s">
        <v>492</v>
      </c>
      <c r="B451" t="e">
        <f>VLOOKUP(A451,Enrollment!A:A,1,FALSE)</f>
        <v>#N/A</v>
      </c>
      <c r="C451" t="str">
        <f>VLOOKUP(A451,Building!A:A,1,FALSE)</f>
        <v>SEMBOWER W PRESSBOX</v>
      </c>
      <c r="D451" t="str">
        <f>VLOOKUP(A451,Sector!A:A,1,FALSE)</f>
        <v>SEMBOWER W PRESSBOX</v>
      </c>
    </row>
    <row r="452" spans="1:4" hidden="1" x14ac:dyDescent="0.3">
      <c r="A452" t="s">
        <v>519</v>
      </c>
      <c r="B452" t="e">
        <f>VLOOKUP(A452,Enrollment!A:A,1,FALSE)</f>
        <v>#N/A</v>
      </c>
      <c r="C452" t="str">
        <f>VLOOKUP(A452,Building!A:A,1,FALSE)</f>
        <v>SERVICE BLDG</v>
      </c>
      <c r="D452" t="str">
        <f>VLOOKUP(A452,Sector!A:A,1,FALSE)</f>
        <v>SERVICE BLDG</v>
      </c>
    </row>
    <row r="453" spans="1:4" hidden="1" x14ac:dyDescent="0.3">
      <c r="A453" t="s">
        <v>434</v>
      </c>
      <c r="B453" t="e">
        <f>VLOOKUP(A453,Enrollment!A:A,1,FALSE)</f>
        <v>#N/A</v>
      </c>
      <c r="C453" t="str">
        <f>VLOOKUP(A453,Building!A:A,1,FALSE)</f>
        <v>SHEA HALL</v>
      </c>
      <c r="D453" t="str">
        <f>VLOOKUP(A453,Sector!A:A,1,FALSE)</f>
        <v>SHEA HALL</v>
      </c>
    </row>
    <row r="454" spans="1:4" hidden="1" x14ac:dyDescent="0.3">
      <c r="A454" t="s">
        <v>598</v>
      </c>
      <c r="B454" t="e">
        <f>VLOOKUP(A454,Enrollment!A:A,1,FALSE)</f>
        <v>#N/A</v>
      </c>
      <c r="C454" t="str">
        <f>VLOOKUP(A454,Building!A:A,1,FALSE)</f>
        <v>SHOWALTER FOUNTAIN</v>
      </c>
      <c r="D454" t="str">
        <f>VLOOKUP(A454,Sector!A:A,1,FALSE)</f>
        <v>SHOWALTER FOUNTAIN</v>
      </c>
    </row>
    <row r="455" spans="1:4" hidden="1" x14ac:dyDescent="0.3">
      <c r="A455" t="s">
        <v>544</v>
      </c>
      <c r="B455" t="e">
        <f>VLOOKUP(A455,Enrollment!A:A,1,FALSE)</f>
        <v>#N/A</v>
      </c>
      <c r="C455" t="str">
        <f>VLOOKUP(A455,Building!A:A,1,FALSE)</f>
        <v>SHOWALTER HOUSE (IU FOUNDATION)</v>
      </c>
      <c r="D455" t="str">
        <f>VLOOKUP(A455,Sector!A:A,1,FALSE)</f>
        <v>SHOWALTER HOUSE (IU FOUNDATION)</v>
      </c>
    </row>
    <row r="456" spans="1:4" hidden="1" x14ac:dyDescent="0.3">
      <c r="A456" t="s">
        <v>287</v>
      </c>
      <c r="B456" t="e">
        <f>VLOOKUP(A456,Enrollment!A:A,1,FALSE)</f>
        <v>#N/A</v>
      </c>
      <c r="C456" t="str">
        <f>VLOOKUP(A456,Building!A:A,1,FALSE)</f>
        <v>SIDNEY &amp; LOIS ESKENAZI MUSEUM OF ART</v>
      </c>
      <c r="D456" t="str">
        <f>VLOOKUP(A456,Sector!A:A,1,FALSE)</f>
        <v>SIDNEY &amp; LOIS ESKENAZI MUSEUM OF ART</v>
      </c>
    </row>
    <row r="457" spans="1:4" hidden="1" x14ac:dyDescent="0.3">
      <c r="A457" t="s">
        <v>581</v>
      </c>
      <c r="B457" t="e">
        <f>VLOOKUP(A457,Enrollment!A:A,1,FALSE)</f>
        <v>#N/A</v>
      </c>
      <c r="C457" t="str">
        <f>VLOOKUP(A457,Building!A:A,1,FALSE)</f>
        <v>SIGMA ALPHA EPSILON</v>
      </c>
      <c r="D457" t="e">
        <f>VLOOKUP(A457,Sector!A:A,1,FALSE)</f>
        <v>#N/A</v>
      </c>
    </row>
    <row r="458" spans="1:4" hidden="1" x14ac:dyDescent="0.3">
      <c r="A458" t="s">
        <v>618</v>
      </c>
      <c r="B458" t="e">
        <f>VLOOKUP(A458,Enrollment!A:A,1,FALSE)</f>
        <v>#N/A</v>
      </c>
      <c r="C458" t="str">
        <f>VLOOKUP(A458,Building!A:A,1,FALSE)</f>
        <v>SIGMA ALPHA MU</v>
      </c>
      <c r="D458" t="e">
        <f>VLOOKUP(A458,Sector!A:A,1,FALSE)</f>
        <v>#N/A</v>
      </c>
    </row>
    <row r="459" spans="1:4" hidden="1" x14ac:dyDescent="0.3">
      <c r="A459" t="s">
        <v>580</v>
      </c>
      <c r="B459" t="e">
        <f>VLOOKUP(A459,Enrollment!A:A,1,FALSE)</f>
        <v>#N/A</v>
      </c>
      <c r="C459" t="str">
        <f>VLOOKUP(A459,Building!A:A,1,FALSE)</f>
        <v>SIGMA CHI</v>
      </c>
      <c r="D459" t="e">
        <f>VLOOKUP(A459,Sector!A:A,1,FALSE)</f>
        <v>#N/A</v>
      </c>
    </row>
    <row r="460" spans="1:4" hidden="1" x14ac:dyDescent="0.3">
      <c r="A460" t="s">
        <v>567</v>
      </c>
      <c r="B460" t="e">
        <f>VLOOKUP(A460,Enrollment!A:A,1,FALSE)</f>
        <v>#N/A</v>
      </c>
      <c r="C460" t="str">
        <f>VLOOKUP(A460,Building!A:A,1,FALSE)</f>
        <v>SIGMA DELTA TAU</v>
      </c>
      <c r="D460" t="e">
        <f>VLOOKUP(A460,Sector!A:A,1,FALSE)</f>
        <v>#N/A</v>
      </c>
    </row>
    <row r="461" spans="1:4" hidden="1" x14ac:dyDescent="0.3">
      <c r="A461" t="s">
        <v>570</v>
      </c>
      <c r="B461" t="e">
        <f>VLOOKUP(A461,Enrollment!A:A,1,FALSE)</f>
        <v>#N/A</v>
      </c>
      <c r="C461" t="str">
        <f>VLOOKUP(A461,Building!A:A,1,FALSE)</f>
        <v>SIGMA KAPPA</v>
      </c>
      <c r="D461" t="e">
        <f>VLOOKUP(A461,Sector!A:A,1,FALSE)</f>
        <v>#N/A</v>
      </c>
    </row>
    <row r="462" spans="1:4" hidden="1" x14ac:dyDescent="0.3">
      <c r="A462" t="s">
        <v>558</v>
      </c>
      <c r="B462" t="e">
        <f>VLOOKUP(A462,Enrollment!A:A,1,FALSE)</f>
        <v>#N/A</v>
      </c>
      <c r="C462" t="str">
        <f>VLOOKUP(A462,Building!A:A,1,FALSE)</f>
        <v>SIGMA NU</v>
      </c>
      <c r="D462" t="str">
        <f>VLOOKUP(A462,Sector!A:A,1,FALSE)</f>
        <v>SIGMA NU</v>
      </c>
    </row>
    <row r="463" spans="1:4" hidden="1" x14ac:dyDescent="0.3">
      <c r="A463" t="s">
        <v>554</v>
      </c>
      <c r="B463" t="e">
        <f>VLOOKUP(A463,Enrollment!A:A,1,FALSE)</f>
        <v>#N/A</v>
      </c>
      <c r="C463" t="str">
        <f>VLOOKUP(A463,Building!A:A,1,FALSE)</f>
        <v>SIGMA PHI EPSILON</v>
      </c>
      <c r="D463" t="str">
        <f>VLOOKUP(A463,Sector!A:A,1,FALSE)</f>
        <v>SIGMA PHI EPSILON</v>
      </c>
    </row>
    <row r="464" spans="1:4" hidden="1" x14ac:dyDescent="0.3">
      <c r="A464" t="s">
        <v>122</v>
      </c>
      <c r="B464" t="str">
        <f>VLOOKUP(A464,Enrollment!A:A,1,FALSE)</f>
        <v>SIMON HALL (SCIENCE)</v>
      </c>
      <c r="C464" t="str">
        <f>VLOOKUP(A464,Building!A:A,1,FALSE)</f>
        <v>SIMON HALL (SCIENCE)</v>
      </c>
      <c r="D464" t="e">
        <f>VLOOKUP(A464,Sector!A:A,1,FALSE)</f>
        <v>#N/A</v>
      </c>
    </row>
    <row r="465" spans="1:4" hidden="1" x14ac:dyDescent="0.3">
      <c r="A465" t="s">
        <v>13</v>
      </c>
      <c r="B465" t="str">
        <f>VLOOKUP(A465,Enrollment!A:A,1,FALSE)</f>
        <v>SIMON MSC LBR REC</v>
      </c>
      <c r="C465" t="str">
        <f>VLOOKUP(A465,Building!A:A,1,FALSE)</f>
        <v>SIMON MSC LBR REC</v>
      </c>
      <c r="D465" t="str">
        <f>VLOOKUP(A465,Sector!A:A,1,FALSE)</f>
        <v>SIMON MSC LBR REC</v>
      </c>
    </row>
    <row r="466" spans="1:4" hidden="1" x14ac:dyDescent="0.3">
      <c r="A466" t="s">
        <v>34</v>
      </c>
      <c r="B466" t="str">
        <f>VLOOKUP(A466,Enrollment!A:A,1,FALSE)</f>
        <v>SIMON SKJODT ASSEMBLY HALL</v>
      </c>
      <c r="C466" t="str">
        <f>VLOOKUP(A466,Building!A:A,1,FALSE)</f>
        <v>SIMON SKJODT ASSEMBLY HALL</v>
      </c>
      <c r="D466" t="str">
        <f>VLOOKUP(A466,Sector!A:A,1,FALSE)</f>
        <v>SIMON SKJODT ASSEMBLY HALL</v>
      </c>
    </row>
    <row r="467" spans="1:4" hidden="1" x14ac:dyDescent="0.3">
      <c r="A467" t="s">
        <v>185</v>
      </c>
      <c r="B467" t="e">
        <f>VLOOKUP(A467,Enrollment!A:A,1,FALSE)</f>
        <v>#N/A</v>
      </c>
      <c r="C467" t="str">
        <f>VLOOKUP(A467,Building!A:A,1,FALSE)</f>
        <v>SITE</v>
      </c>
      <c r="D467" t="e">
        <f>VLOOKUP(A467,Sector!A:A,1,FALSE)</f>
        <v>#N/A</v>
      </c>
    </row>
    <row r="468" spans="1:4" hidden="1" x14ac:dyDescent="0.3">
      <c r="A468" t="s">
        <v>263</v>
      </c>
      <c r="B468" t="e">
        <f>VLOOKUP(A468,Enrollment!A:A,1,FALSE)</f>
        <v>#N/A</v>
      </c>
      <c r="C468" t="str">
        <f>VLOOKUP(A468,Building!A:A,1,FALSE)</f>
        <v>SMITH HALL</v>
      </c>
      <c r="D468" t="e">
        <f>VLOOKUP(A468,Sector!A:A,1,FALSE)</f>
        <v>#N/A</v>
      </c>
    </row>
    <row r="469" spans="1:4" hidden="1" x14ac:dyDescent="0.3">
      <c r="A469" t="s">
        <v>465</v>
      </c>
      <c r="B469" t="e">
        <f>VLOOKUP(A469,Enrollment!A:A,1,FALSE)</f>
        <v>#N/A</v>
      </c>
      <c r="C469" t="str">
        <f>VLOOKUP(A469,Building!A:A,1,FALSE)</f>
        <v>SMITH RESEARCH CENTER</v>
      </c>
      <c r="D469" t="str">
        <f>VLOOKUP(A469,Sector!A:A,1,FALSE)</f>
        <v>SMITH RESEARCH CENTER</v>
      </c>
    </row>
    <row r="470" spans="1:4" hidden="1" x14ac:dyDescent="0.3">
      <c r="A470" t="s">
        <v>123</v>
      </c>
      <c r="B470" t="str">
        <f>VLOOKUP(A470,Enrollment!A:A,1,FALSE)</f>
        <v>SOCIAL RESEARCH</v>
      </c>
      <c r="C470" t="str">
        <f>VLOOKUP(A470,Building!A:A,1,FALSE)</f>
        <v>SOCIAL RESEARCH</v>
      </c>
      <c r="D470" t="str">
        <f>VLOOKUP(A470,Sector!A:A,1,FALSE)</f>
        <v>SOCIAL RESEARCH</v>
      </c>
    </row>
    <row r="471" spans="1:4" hidden="1" x14ac:dyDescent="0.3">
      <c r="A471" t="s">
        <v>14</v>
      </c>
      <c r="B471" t="str">
        <f>VLOOKUP(A471,Enrollment!A:A,1,FALSE)</f>
        <v>SPEA</v>
      </c>
      <c r="C471" t="str">
        <f>VLOOKUP(A471,Building!A:A,1,FALSE)</f>
        <v>SPEA</v>
      </c>
      <c r="D471" t="str">
        <f>VLOOKUP(A471,Sector!A:A,1,FALSE)</f>
        <v>SPEA</v>
      </c>
    </row>
    <row r="472" spans="1:4" hidden="1" x14ac:dyDescent="0.3">
      <c r="A472" t="s">
        <v>15</v>
      </c>
      <c r="B472" t="str">
        <f>VLOOKUP(A472,Enrollment!A:A,1,FALSE)</f>
        <v>SPRUCE HALL</v>
      </c>
      <c r="C472" t="str">
        <f>VLOOKUP(A472,Building!A:A,1,FALSE)</f>
        <v>SPRUCE HALL</v>
      </c>
      <c r="D472" t="str">
        <f>VLOOKUP(A472,Sector!A:A,1,FALSE)</f>
        <v>SPRUCE HALL</v>
      </c>
    </row>
    <row r="473" spans="1:4" hidden="1" x14ac:dyDescent="0.3">
      <c r="A473" t="s">
        <v>325</v>
      </c>
      <c r="B473" t="e">
        <f>VLOOKUP(A473,Enrollment!A:A,1,FALSE)</f>
        <v>#N/A</v>
      </c>
      <c r="C473" t="str">
        <f>VLOOKUP(A473,Building!A:A,1,FALSE)</f>
        <v>STEMPEL HALL</v>
      </c>
      <c r="D473" t="str">
        <f>VLOOKUP(A473,Sector!A:A,1,FALSE)</f>
        <v>STEMPEL HALL</v>
      </c>
    </row>
    <row r="474" spans="1:4" hidden="1" x14ac:dyDescent="0.3">
      <c r="A474" t="s">
        <v>584</v>
      </c>
      <c r="B474" t="e">
        <f>VLOOKUP(A474,Enrollment!A:A,1,FALSE)</f>
        <v>#N/A</v>
      </c>
      <c r="C474" t="str">
        <f>VLOOKUP(A474,Building!A:A,1,FALSE)</f>
        <v>STONE BELT CENTER</v>
      </c>
      <c r="D474" t="str">
        <f>VLOOKUP(A474,Sector!A:A,1,FALSE)</f>
        <v>STONE BELT CENTER</v>
      </c>
    </row>
    <row r="475" spans="1:4" hidden="1" x14ac:dyDescent="0.3">
      <c r="A475" t="s">
        <v>214</v>
      </c>
      <c r="B475" t="e">
        <f>VLOOKUP(A475,Enrollment!A:A,1,FALSE)</f>
        <v>#N/A</v>
      </c>
      <c r="C475" t="str">
        <f>VLOOKUP(A475,Building!A:A,1,FALSE)</f>
        <v>STUDENT BUILDING (FRANCES MORGAN SWAIN)</v>
      </c>
      <c r="D475" t="str">
        <f>VLOOKUP(A475,Sector!A:A,1,FALSE)</f>
        <v>STUDENT BUILDING (FRANCES MORGAN SWAIN)</v>
      </c>
    </row>
    <row r="476" spans="1:4" hidden="1" x14ac:dyDescent="0.3">
      <c r="A476" t="s">
        <v>126</v>
      </c>
      <c r="B476" t="str">
        <f>VLOOKUP(A476,Enrollment!A:A,1,FALSE)</f>
        <v>STUDENT SERVICES</v>
      </c>
      <c r="C476" t="str">
        <f>VLOOKUP(A476,Building!A:A,1,FALSE)</f>
        <v>STUDENT SERVICES</v>
      </c>
      <c r="D476" t="str">
        <f>VLOOKUP(A476,Sector!A:A,1,FALSE)</f>
        <v>STUDENT SERVICES</v>
      </c>
    </row>
    <row r="477" spans="1:4" hidden="1" x14ac:dyDescent="0.3">
      <c r="A477" t="s">
        <v>127</v>
      </c>
      <c r="B477" t="str">
        <f>VLOOKUP(A477,Enrollment!A:A,1,FALSE)</f>
        <v>STUDIO ARTS ANNEX</v>
      </c>
      <c r="C477" t="str">
        <f>VLOOKUP(A477,Building!A:A,1,FALSE)</f>
        <v>STUDIO ARTS ANNEX</v>
      </c>
      <c r="D477" t="str">
        <f>VLOOKUP(A477,Sector!A:A,1,FALSE)</f>
        <v>STUDIO ARTS ANNEX</v>
      </c>
    </row>
    <row r="478" spans="1:4" hidden="1" x14ac:dyDescent="0.3">
      <c r="A478" t="s">
        <v>254</v>
      </c>
      <c r="B478" t="e">
        <f>VLOOKUP(A478,Enrollment!A:A,1,FALSE)</f>
        <v>#N/A</v>
      </c>
      <c r="C478" t="str">
        <f>VLOOKUP(A478,Building!A:A,1,FALSE)</f>
        <v>SUNFLOWER DAYCARE</v>
      </c>
      <c r="D478" t="str">
        <f>VLOOKUP(A478,Sector!A:A,1,FALSE)</f>
        <v>SUNFLOWER DAYCARE</v>
      </c>
    </row>
    <row r="479" spans="1:4" hidden="1" x14ac:dyDescent="0.3">
      <c r="A479" t="s">
        <v>128</v>
      </c>
      <c r="B479" t="str">
        <f>VLOOKUP(A479,Enrollment!A:A,1,FALSE)</f>
        <v>SWAIN EAST</v>
      </c>
      <c r="C479" t="str">
        <f>VLOOKUP(A479,Building!A:A,1,FALSE)</f>
        <v>SWAIN EAST</v>
      </c>
      <c r="D479" t="e">
        <f>VLOOKUP(A479,Sector!A:A,1,FALSE)</f>
        <v>#N/A</v>
      </c>
    </row>
    <row r="480" spans="1:4" hidden="1" x14ac:dyDescent="0.3">
      <c r="A480" t="s">
        <v>129</v>
      </c>
      <c r="B480" t="str">
        <f>VLOOKUP(A480,Enrollment!A:A,1,FALSE)</f>
        <v>SWAIN WEST</v>
      </c>
      <c r="C480" t="str">
        <f>VLOOKUP(A480,Building!A:A,1,FALSE)</f>
        <v>SWAIN WEST</v>
      </c>
      <c r="D480" t="str">
        <f>VLOOKUP(A480,Sector!A:A,1,FALSE)</f>
        <v>SWAIN WEST</v>
      </c>
    </row>
    <row r="481" spans="1:4" hidden="1" x14ac:dyDescent="0.3">
      <c r="A481" t="s">
        <v>166</v>
      </c>
      <c r="B481" t="str">
        <f>VLOOKUP(A481,Enrollment!A:A,1,FALSE)</f>
        <v>SYCAMORE HALL</v>
      </c>
      <c r="C481" t="str">
        <f>VLOOKUP(A481,Building!A:A,1,FALSE)</f>
        <v>SYCAMORE HALL</v>
      </c>
      <c r="D481" t="str">
        <f>VLOOKUP(A481,Sector!A:A,1,FALSE)</f>
        <v>SYCAMORE HALL</v>
      </c>
    </row>
    <row r="482" spans="1:4" hidden="1" x14ac:dyDescent="0.3">
      <c r="A482" t="s">
        <v>595</v>
      </c>
      <c r="B482" t="e">
        <f>VLOOKUP(A482,Enrollment!A:A,1,FALSE)</f>
        <v>#N/A</v>
      </c>
      <c r="C482" t="str">
        <f>VLOOKUP(A482,Building!A:A,1,FALSE)</f>
        <v>TAU EPSILON PHI</v>
      </c>
      <c r="D482" t="str">
        <f>VLOOKUP(A482,Sector!A:A,1,FALSE)</f>
        <v>TAU EPSILON PHI</v>
      </c>
    </row>
    <row r="483" spans="1:4" hidden="1" x14ac:dyDescent="0.3">
      <c r="A483" t="s">
        <v>479</v>
      </c>
      <c r="B483" t="e">
        <f>VLOOKUP(A483,Enrollment!A:A,1,FALSE)</f>
        <v>#N/A</v>
      </c>
      <c r="C483" t="str">
        <f>VLOOKUP(A483,Building!A:A,1,FALSE)</f>
        <v>TENNIS CENTER</v>
      </c>
      <c r="D483" t="str">
        <f>VLOOKUP(A483,Sector!A:A,1,FALSE)</f>
        <v>TENNIS CENTER</v>
      </c>
    </row>
    <row r="484" spans="1:4" hidden="1" x14ac:dyDescent="0.3">
      <c r="A484" t="s">
        <v>130</v>
      </c>
      <c r="B484" t="str">
        <f>VLOOKUP(A484,Enrollment!A:A,1,FALSE)</f>
        <v>TETER QUAD</v>
      </c>
      <c r="C484" t="str">
        <f>VLOOKUP(A484,Building!A:A,1,FALSE)</f>
        <v>TETER QUAD</v>
      </c>
      <c r="D484" t="str">
        <f>VLOOKUP(A484,Sector!A:A,1,FALSE)</f>
        <v>TETER QUAD</v>
      </c>
    </row>
    <row r="485" spans="1:4" hidden="1" x14ac:dyDescent="0.3">
      <c r="A485" t="s">
        <v>131</v>
      </c>
      <c r="B485" t="str">
        <f>VLOOKUP(A485,Enrollment!A:A,1,FALSE)</f>
        <v>THE HEALTH SCIENCES BUILDING</v>
      </c>
      <c r="C485" t="str">
        <f>VLOOKUP(A485,Building!A:A,1,FALSE)</f>
        <v>THE HEALTH SCIENCES BUILDING</v>
      </c>
      <c r="D485" t="str">
        <f>VLOOKUP(A485,Sector!A:A,1,FALSE)</f>
        <v>THE HEALTH SCIENCES BUILDING</v>
      </c>
    </row>
    <row r="486" spans="1:4" hidden="1" x14ac:dyDescent="0.3">
      <c r="A486" t="s">
        <v>572</v>
      </c>
      <c r="B486" t="e">
        <f>VLOOKUP(A486,Enrollment!A:A,1,FALSE)</f>
        <v>#N/A</v>
      </c>
      <c r="C486" t="str">
        <f>VLOOKUP(A486,Building!A:A,1,FALSE)</f>
        <v>THETA CHI</v>
      </c>
      <c r="D486" t="str">
        <f>VLOOKUP(A486,Sector!A:A,1,FALSE)</f>
        <v>THETA CHI</v>
      </c>
    </row>
    <row r="487" spans="1:4" hidden="1" x14ac:dyDescent="0.3">
      <c r="A487" t="s">
        <v>455</v>
      </c>
      <c r="B487" t="e">
        <f>VLOOKUP(A487,Enrollment!A:A,1,FALSE)</f>
        <v>#N/A</v>
      </c>
      <c r="C487" t="str">
        <f>VLOOKUP(A487,Building!A:A,1,FALSE)</f>
        <v>TULIP TREE APTS</v>
      </c>
      <c r="D487" t="str">
        <f>VLOOKUP(A487,Sector!A:A,1,FALSE)</f>
        <v>TULIP TREE APTS</v>
      </c>
    </row>
    <row r="488" spans="1:4" hidden="1" x14ac:dyDescent="0.3">
      <c r="A488" t="s">
        <v>593</v>
      </c>
      <c r="B488" t="e">
        <f>VLOOKUP(A488,Enrollment!A:A,1,FALSE)</f>
        <v>#N/A</v>
      </c>
      <c r="C488" t="str">
        <f>VLOOKUP(A488,Building!A:A,1,FALSE)</f>
        <v>UNDERGRADUATE EDUCATION</v>
      </c>
      <c r="D488" t="str">
        <f>VLOOKUP(A488,Sector!A:A,1,FALSE)</f>
        <v>UNDERGRADUATE EDUCATION</v>
      </c>
    </row>
    <row r="489" spans="1:4" hidden="1" x14ac:dyDescent="0.3">
      <c r="A489" t="s">
        <v>321</v>
      </c>
      <c r="B489" t="e">
        <f>VLOOKUP(A489,Enrollment!A:A,1,FALSE)</f>
        <v>#N/A</v>
      </c>
      <c r="C489" t="str">
        <f>VLOOKUP(A489,Building!A:A,1,FALSE)</f>
        <v>UNION ST CHILLER</v>
      </c>
      <c r="D489" t="str">
        <f>VLOOKUP(A489,Sector!A:A,1,FALSE)</f>
        <v>UNION ST CHILLER</v>
      </c>
    </row>
    <row r="490" spans="1:4" hidden="1" x14ac:dyDescent="0.3">
      <c r="A490" t="s">
        <v>302</v>
      </c>
      <c r="B490" t="e">
        <f>VLOOKUP(A490,Enrollment!A:A,1,FALSE)</f>
        <v>#N/A</v>
      </c>
      <c r="C490" t="str">
        <f>VLOOKUP(A490,Building!A:A,1,FALSE)</f>
        <v>UNIVERSITY APT EAST</v>
      </c>
      <c r="D490" t="str">
        <f>VLOOKUP(A490,Sector!A:A,1,FALSE)</f>
        <v>UNIVERSITY APT EAST</v>
      </c>
    </row>
    <row r="491" spans="1:4" hidden="1" x14ac:dyDescent="0.3">
      <c r="A491" t="s">
        <v>189</v>
      </c>
      <c r="B491" t="e">
        <f>VLOOKUP(A491,Enrollment!A:A,1,FALSE)</f>
        <v>#N/A</v>
      </c>
      <c r="C491" t="str">
        <f>VLOOKUP(A491,Building!A:A,1,FALSE)</f>
        <v>VON LEE</v>
      </c>
      <c r="D491" t="str">
        <f>VLOOKUP(A491,Sector!A:A,1,FALSE)</f>
        <v>VON LEE</v>
      </c>
    </row>
    <row r="492" spans="1:4" hidden="1" x14ac:dyDescent="0.3">
      <c r="A492" t="s">
        <v>314</v>
      </c>
      <c r="B492" t="e">
        <f>VLOOKUP(A492,Enrollment!A:A,1,FALSE)</f>
        <v>#N/A</v>
      </c>
      <c r="C492" t="str">
        <f>VLOOKUP(A492,Building!A:A,1,FALSE)</f>
        <v>VOS HALL</v>
      </c>
      <c r="D492" t="str">
        <f>VLOOKUP(A492,Sector!A:A,1,FALSE)</f>
        <v>VOS HALL</v>
      </c>
    </row>
    <row r="493" spans="1:4" hidden="1" x14ac:dyDescent="0.3">
      <c r="A493" t="s">
        <v>497</v>
      </c>
      <c r="B493" t="e">
        <f>VLOOKUP(A493,Enrollment!A:A,1,FALSE)</f>
        <v>#N/A</v>
      </c>
      <c r="C493" t="str">
        <f>VLOOKUP(A493,Building!A:A,1,FALSE)</f>
        <v>WEATHERS GOLF TEAM CENTER</v>
      </c>
      <c r="D493" t="str">
        <f>VLOOKUP(A493,Sector!A:A,1,FALSE)</f>
        <v>WEATHERS GOLF TEAM CENTER</v>
      </c>
    </row>
    <row r="494" spans="1:4" hidden="1" x14ac:dyDescent="0.3">
      <c r="A494" t="s">
        <v>438</v>
      </c>
      <c r="B494" t="e">
        <f>VLOOKUP(A494,Enrollment!A:A,1,FALSE)</f>
        <v>#N/A</v>
      </c>
      <c r="C494" t="str">
        <f>VLOOKUP(A494,Building!A:A,1,FALSE)</f>
        <v>WELLS HOUSE</v>
      </c>
      <c r="D494" t="str">
        <f>VLOOKUP(A494,Sector!A:A,1,FALSE)</f>
        <v>WELLS HOUSE</v>
      </c>
    </row>
    <row r="495" spans="1:4" hidden="1" x14ac:dyDescent="0.3">
      <c r="A495" t="s">
        <v>137</v>
      </c>
      <c r="B495" t="str">
        <f>VLOOKUP(A495,Enrollment!A:A,1,FALSE)</f>
        <v>WELLS LIBRARY</v>
      </c>
      <c r="C495" t="str">
        <f>VLOOKUP(A495,Building!A:A,1,FALSE)</f>
        <v>WELLS LIBRARY</v>
      </c>
      <c r="D495" t="e">
        <f>VLOOKUP(A495,Sector!A:A,1,FALSE)</f>
        <v>#N/A</v>
      </c>
    </row>
    <row r="496" spans="1:4" hidden="1" x14ac:dyDescent="0.3">
      <c r="A496" t="s">
        <v>17</v>
      </c>
      <c r="B496" t="str">
        <f>VLOOKUP(A496,Enrollment!A:A,1,FALSE)</f>
        <v>WENDELL W. WRIGHT</v>
      </c>
      <c r="C496" t="str">
        <f>VLOOKUP(A496,Building!A:A,1,FALSE)</f>
        <v>WENDELL W. WRIGHT</v>
      </c>
      <c r="D496" t="str">
        <f>VLOOKUP(A496,Sector!A:A,1,FALSE)</f>
        <v>WENDELL W. WRIGHT</v>
      </c>
    </row>
    <row r="497" spans="1:4" hidden="1" x14ac:dyDescent="0.3">
      <c r="A497" t="s">
        <v>480</v>
      </c>
      <c r="B497" t="e">
        <f>VLOOKUP(A497,Enrollment!A:A,1,FALSE)</f>
        <v>#N/A</v>
      </c>
      <c r="C497" t="str">
        <f>VLOOKUP(A497,Building!A:A,1,FALSE)</f>
        <v>WILCOX HOUSE</v>
      </c>
      <c r="D497" t="str">
        <f>VLOOKUP(A497,Sector!A:A,1,FALSE)</f>
        <v>WILCOX HOUSE</v>
      </c>
    </row>
    <row r="498" spans="1:4" hidden="1" x14ac:dyDescent="0.3">
      <c r="A498" t="s">
        <v>477</v>
      </c>
      <c r="B498" t="e">
        <f>VLOOKUP(A498,Enrollment!A:A,1,FALSE)</f>
        <v>#N/A</v>
      </c>
      <c r="C498" t="str">
        <f>VLOOKUP(A498,Building!A:A,1,FALSE)</f>
        <v>WILKINSON HALL (VOLLEYBALL/WRESTLING)</v>
      </c>
      <c r="D498" t="str">
        <f>VLOOKUP(A498,Sector!A:A,1,FALSE)</f>
        <v>WILKINSON HALL (VOLLEYBALL/WRESTLING)</v>
      </c>
    </row>
    <row r="499" spans="1:4" hidden="1" x14ac:dyDescent="0.3">
      <c r="A499" t="s">
        <v>339</v>
      </c>
      <c r="B499" t="e">
        <f>VLOOKUP(A499,Enrollment!A:A,1,FALSE)</f>
        <v>#N/A</v>
      </c>
      <c r="C499" t="str">
        <f>VLOOKUP(A499,Building!A:A,1,FALSE)</f>
        <v>WILLKIE A</v>
      </c>
      <c r="D499" t="str">
        <f>VLOOKUP(A499,Sector!A:A,1,FALSE)</f>
        <v>WILLKIE A</v>
      </c>
    </row>
    <row r="500" spans="1:4" hidden="1" x14ac:dyDescent="0.3">
      <c r="A500" t="s">
        <v>338</v>
      </c>
      <c r="B500" t="e">
        <f>VLOOKUP(A500,Enrollment!A:A,1,FALSE)</f>
        <v>#N/A</v>
      </c>
      <c r="C500" t="str">
        <f>VLOOKUP(A500,Building!A:A,1,FALSE)</f>
        <v>WILLKIE B</v>
      </c>
      <c r="D500" t="str">
        <f>VLOOKUP(A500,Sector!A:A,1,FALSE)</f>
        <v>WILLKIE B</v>
      </c>
    </row>
    <row r="501" spans="1:4" hidden="1" x14ac:dyDescent="0.3">
      <c r="A501" t="s">
        <v>140</v>
      </c>
      <c r="B501" t="str">
        <f>VLOOKUP(A501,Enrollment!A:A,1,FALSE)</f>
        <v>WILLKIE C</v>
      </c>
      <c r="C501" t="str">
        <f>VLOOKUP(A501,Building!A:A,1,FALSE)</f>
        <v>WILLKIE C</v>
      </c>
      <c r="D501" t="str">
        <f>VLOOKUP(A501,Sector!A:A,1,FALSE)</f>
        <v>WILLKIE C</v>
      </c>
    </row>
    <row r="502" spans="1:4" hidden="1" x14ac:dyDescent="0.3">
      <c r="A502" t="s">
        <v>18</v>
      </c>
      <c r="B502" t="str">
        <f>VLOOKUP(A502,Enrollment!A:A,1,FALSE)</f>
        <v>WOODBURN HALL</v>
      </c>
      <c r="C502" t="str">
        <f>VLOOKUP(A502,Building!A:A,1,FALSE)</f>
        <v>WOODBURN HALL</v>
      </c>
      <c r="D502" t="str">
        <f>VLOOKUP(A502,Sector!A:A,1,FALSE)</f>
        <v>WOODBURN HALL</v>
      </c>
    </row>
    <row r="503" spans="1:4" hidden="1" x14ac:dyDescent="0.3">
      <c r="A503" t="s">
        <v>533</v>
      </c>
      <c r="B503" t="e">
        <f>VLOOKUP(A503,Enrollment!A:A,1,FALSE)</f>
        <v>#N/A</v>
      </c>
      <c r="C503" t="str">
        <f>VLOOKUP(A503,Building!A:A,1,FALSE)</f>
        <v>WOODBURN HOUSE</v>
      </c>
      <c r="D503" t="str">
        <f>VLOOKUP(A503,Sector!A:A,1,FALSE)</f>
        <v>WOODBURN HOUSE</v>
      </c>
    </row>
    <row r="504" spans="1:4" hidden="1" x14ac:dyDescent="0.3">
      <c r="A504" t="s">
        <v>141</v>
      </c>
      <c r="B504" t="str">
        <f>VLOOKUP(A504,Enrollment!A:A,1,FALSE)</f>
        <v>WRIGHT QUAD</v>
      </c>
      <c r="C504" t="str">
        <f>VLOOKUP(A504,Building!A:A,1,FALSE)</f>
        <v>WRIGHT QUAD</v>
      </c>
      <c r="D504" t="str">
        <f>VLOOKUP(A504,Sector!A:A,1,FALSE)</f>
        <v>WRIGHT QUAD</v>
      </c>
    </row>
    <row r="505" spans="1:4" hidden="1" x14ac:dyDescent="0.3">
      <c r="A505" t="s">
        <v>19</v>
      </c>
      <c r="B505" t="str">
        <f>VLOOKUP(A505,Enrollment!A:A,1,FALSE)</f>
        <v>WYLIE HALL</v>
      </c>
      <c r="C505" t="str">
        <f>VLOOKUP(A505,Building!A:A,1,FALSE)</f>
        <v>WYLIE HALL</v>
      </c>
      <c r="D505" t="str">
        <f>VLOOKUP(A505,Sector!A:A,1,FALSE)</f>
        <v>WYLIE HALL</v>
      </c>
    </row>
    <row r="506" spans="1:4" hidden="1" x14ac:dyDescent="0.3">
      <c r="A506" t="s">
        <v>534</v>
      </c>
      <c r="B506" t="e">
        <f>VLOOKUP(A506,Enrollment!A:A,1,FALSE)</f>
        <v>#N/A</v>
      </c>
      <c r="C506" t="str">
        <f>VLOOKUP(A506,Building!A:A,1,FALSE)</f>
        <v>WYLIE HOUSE MUSEUM</v>
      </c>
      <c r="D506" t="str">
        <f>VLOOKUP(A506,Sector!A:A,1,FALSE)</f>
        <v>WYLIE HOUSE MUSEUM</v>
      </c>
    </row>
    <row r="507" spans="1:4" hidden="1" x14ac:dyDescent="0.3">
      <c r="A507" t="s">
        <v>557</v>
      </c>
      <c r="B507" t="e">
        <f>VLOOKUP(A507,Enrollment!A:A,1,FALSE)</f>
        <v>#N/A</v>
      </c>
      <c r="C507" t="str">
        <f>VLOOKUP(A507,Building!A:A,1,FALSE)</f>
        <v>ZETA TAU ALPHA</v>
      </c>
      <c r="D507" t="str">
        <f>VLOOKUP(A507,Sector!A:A,1,FALSE)</f>
        <v>ZETA TAU ALPHA</v>
      </c>
    </row>
  </sheetData>
  <autoFilter ref="A1:D507" xr:uid="{145039F7-A1C5-4C21-94C6-794163DC9857}">
    <filterColumn colId="0">
      <filters>
        <filter val="MULTI SCIENCE 2"/>
        <filter val="MULTIDISCIPLINARY ENG AND SCI HALL-MESH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A240-3879-4A35-B145-2A7983604FAF}">
  <dimension ref="A1:D354"/>
  <sheetViews>
    <sheetView workbookViewId="0">
      <selection activeCell="D2" sqref="D2:D354"/>
    </sheetView>
  </sheetViews>
  <sheetFormatPr defaultRowHeight="14.4" x14ac:dyDescent="0.3"/>
  <cols>
    <col min="1" max="1" width="43.77734375" bestFit="1" customWidth="1"/>
    <col min="2" max="2" width="18.5546875" bestFit="1" customWidth="1"/>
    <col min="3" max="4" width="25.44140625" bestFit="1" customWidth="1"/>
  </cols>
  <sheetData>
    <row r="1" spans="1:4" x14ac:dyDescent="0.3">
      <c r="A1" t="s">
        <v>592</v>
      </c>
      <c r="B1" t="s">
        <v>613</v>
      </c>
      <c r="C1" t="s">
        <v>610</v>
      </c>
      <c r="D1" t="s">
        <v>611</v>
      </c>
    </row>
    <row r="2" spans="1:4" x14ac:dyDescent="0.3">
      <c r="A2" t="s">
        <v>441</v>
      </c>
      <c r="B2" t="e">
        <f>VLOOKUP(A2,Enrollment!A:A,1,FALSE)</f>
        <v>#N/A</v>
      </c>
      <c r="C2" t="str">
        <f>VLOOKUP(A2,Building!A:A,1,FALSE)</f>
        <v>IU STUDENT HEALTH CENTER</v>
      </c>
      <c r="D2" t="str">
        <f>VLOOKUP(A2,Distance!A:A,1,FALSE)</f>
        <v>IU STUDENT HEALTH CENTER</v>
      </c>
    </row>
    <row r="3" spans="1:4" x14ac:dyDescent="0.3">
      <c r="A3" t="s">
        <v>510</v>
      </c>
      <c r="B3" t="e">
        <f>VLOOKUP(A3,Enrollment!A:A,1,FALSE)</f>
        <v>#N/A</v>
      </c>
      <c r="C3" t="str">
        <f>VLOOKUP(A3,Building!A:A,1,FALSE)</f>
        <v>IU WAREHOUSE</v>
      </c>
      <c r="D3" t="str">
        <f>VLOOKUP(A3,Distance!A:A,1,FALSE)</f>
        <v>IU WAREHOUSE</v>
      </c>
    </row>
    <row r="4" spans="1:4" x14ac:dyDescent="0.3">
      <c r="A4" t="s">
        <v>382</v>
      </c>
      <c r="B4" t="e">
        <f>VLOOKUP(A4,Enrollment!A:A,1,FALSE)</f>
        <v>#N/A</v>
      </c>
      <c r="C4" t="str">
        <f>VLOOKUP(A4,Building!A:A,1,FALSE)</f>
        <v>1114 INDIANA GARAGE</v>
      </c>
      <c r="D4" t="str">
        <f>VLOOKUP(A4,Distance!A:A,1,FALSE)</f>
        <v>1114 INDIANA GARAGE</v>
      </c>
    </row>
    <row r="5" spans="1:4" x14ac:dyDescent="0.3">
      <c r="A5" t="s">
        <v>473</v>
      </c>
      <c r="B5" t="e">
        <f>VLOOKUP(A5,Enrollment!A:A,1,FALSE)</f>
        <v>#N/A</v>
      </c>
      <c r="C5" t="str">
        <f>VLOOKUP(A5,Building!A:A,1,FALSE)</f>
        <v>MELLENCAMP PAVILION</v>
      </c>
      <c r="D5" t="str">
        <f>VLOOKUP(A5,Distance!A:A,1,FALSE)</f>
        <v>MELLENCAMP PAVILION</v>
      </c>
    </row>
    <row r="6" spans="1:4" x14ac:dyDescent="0.3">
      <c r="A6" t="s">
        <v>518</v>
      </c>
      <c r="B6" t="e">
        <f>VLOOKUP(A6,Enrollment!A:A,1,FALSE)</f>
        <v>#N/A</v>
      </c>
      <c r="C6" t="str">
        <f>VLOOKUP(A6,Building!A:A,1,FALSE)</f>
        <v>1209 E MATLOCK RD</v>
      </c>
      <c r="D6" t="str">
        <f>VLOOKUP(A6,Distance!A:A,1,FALSE)</f>
        <v>1209 E MATLOCK RD</v>
      </c>
    </row>
    <row r="7" spans="1:4" x14ac:dyDescent="0.3">
      <c r="A7" t="s">
        <v>469</v>
      </c>
      <c r="B7" t="e">
        <f>VLOOKUP(A7,Enrollment!A:A,1,FALSE)</f>
        <v>#N/A</v>
      </c>
      <c r="C7" t="str">
        <f>VLOOKUP(A7,Building!A:A,1,FALSE)</f>
        <v>DATA CENTER</v>
      </c>
      <c r="D7" t="str">
        <f>VLOOKUP(A7,Distance!A:A,1,FALSE)</f>
        <v>DATA CENTER</v>
      </c>
    </row>
    <row r="8" spans="1:4" x14ac:dyDescent="0.3">
      <c r="A8" t="s">
        <v>34</v>
      </c>
      <c r="B8" t="str">
        <f>VLOOKUP(A8,Enrollment!A:A,1,FALSE)</f>
        <v>SIMON SKJODT ASSEMBLY HALL</v>
      </c>
      <c r="C8" t="str">
        <f>VLOOKUP(A8,Building!A:A,1,FALSE)</f>
        <v>SIMON SKJODT ASSEMBLY HALL</v>
      </c>
      <c r="D8" t="str">
        <f>VLOOKUP(A8,Distance!A:A,1,FALSE)</f>
        <v>SIMON SKJODT ASSEMBLY HALL</v>
      </c>
    </row>
    <row r="9" spans="1:4" x14ac:dyDescent="0.3">
      <c r="A9" t="s">
        <v>486</v>
      </c>
      <c r="B9" t="e">
        <f>VLOOKUP(A9,Enrollment!A:A,1,FALSE)</f>
        <v>#N/A</v>
      </c>
      <c r="C9" t="str">
        <f>VLOOKUP(A9,Building!A:A,1,FALSE)</f>
        <v>711 E SR45/46 HOUSE</v>
      </c>
      <c r="D9" t="str">
        <f>VLOOKUP(A9,Distance!A:A,1,FALSE)</f>
        <v>711 E SR45/46 HOUSE</v>
      </c>
    </row>
    <row r="10" spans="1:4" x14ac:dyDescent="0.3">
      <c r="A10" t="s">
        <v>381</v>
      </c>
      <c r="B10" t="e">
        <f>VLOOKUP(A10,Enrollment!A:A,1,FALSE)</f>
        <v>#N/A</v>
      </c>
      <c r="C10" t="str">
        <f>VLOOKUP(A10,Building!A:A,1,FALSE)</f>
        <v>1020 N INDIANA AVE</v>
      </c>
      <c r="D10" t="str">
        <f>VLOOKUP(A10,Distance!A:A,1,FALSE)</f>
        <v>1020 N INDIANA AVE</v>
      </c>
    </row>
    <row r="11" spans="1:4" x14ac:dyDescent="0.3">
      <c r="A11" t="s">
        <v>475</v>
      </c>
      <c r="B11" t="e">
        <f>VLOOKUP(A11,Enrollment!A:A,1,FALSE)</f>
        <v>#N/A</v>
      </c>
      <c r="C11" t="str">
        <f>VLOOKUP(A11,Building!A:A,1,FALSE)</f>
        <v>HAYES TRACK STORAGE</v>
      </c>
      <c r="D11" t="str">
        <f>VLOOKUP(A11,Distance!A:A,1,FALSE)</f>
        <v>HAYES TRACK STORAGE</v>
      </c>
    </row>
    <row r="12" spans="1:4" x14ac:dyDescent="0.3">
      <c r="A12" t="s">
        <v>450</v>
      </c>
      <c r="B12" t="e">
        <f>VLOOKUP(A12,Enrollment!A:A,1,FALSE)</f>
        <v>#N/A</v>
      </c>
      <c r="C12" t="str">
        <f>VLOOKUP(A12,Building!A:A,1,FALSE)</f>
        <v>POLE BARN B</v>
      </c>
      <c r="D12" t="str">
        <f>VLOOKUP(A12,Distance!A:A,1,FALSE)</f>
        <v>POLE BARN B</v>
      </c>
    </row>
    <row r="13" spans="1:4" x14ac:dyDescent="0.3">
      <c r="A13" t="s">
        <v>162</v>
      </c>
      <c r="B13" t="str">
        <f>VLOOKUP(A13,Enrollment!A:A,1,FALSE)</f>
        <v>GLADSTEIN FIELDHOUSE</v>
      </c>
      <c r="C13" t="str">
        <f>VLOOKUP(A13,Building!A:A,1,FALSE)</f>
        <v>GLADSTEIN FIELDHOUSE</v>
      </c>
      <c r="D13" t="str">
        <f>VLOOKUP(A13,Distance!A:A,1,FALSE)</f>
        <v>GLADSTEIN FIELDHOUSE</v>
      </c>
    </row>
    <row r="14" spans="1:4" x14ac:dyDescent="0.3">
      <c r="A14" t="s">
        <v>444</v>
      </c>
      <c r="B14" t="e">
        <f>VLOOKUP(A14,Enrollment!A:A,1,FALSE)</f>
        <v>#N/A</v>
      </c>
      <c r="C14" t="str">
        <f>VLOOKUP(A14,Building!A:A,1,FALSE)</f>
        <v>FACILITY OPS STORAGE</v>
      </c>
      <c r="D14" t="str">
        <f>VLOOKUP(A14,Distance!A:A,1,FALSE)</f>
        <v>FACILITY OPS STORAGE</v>
      </c>
    </row>
    <row r="15" spans="1:4" x14ac:dyDescent="0.3">
      <c r="A15" t="s">
        <v>484</v>
      </c>
      <c r="B15" t="e">
        <f>VLOOKUP(A15,Enrollment!A:A,1,FALSE)</f>
        <v>#N/A</v>
      </c>
      <c r="C15" t="str">
        <f>VLOOKUP(A15,Building!A:A,1,FALSE)</f>
        <v>1800 N FEE LN</v>
      </c>
      <c r="D15" t="str">
        <f>VLOOKUP(A15,Distance!A:A,1,FALSE)</f>
        <v>1800 N FEE LN</v>
      </c>
    </row>
    <row r="16" spans="1:4" x14ac:dyDescent="0.3">
      <c r="A16" t="s">
        <v>561</v>
      </c>
      <c r="B16" t="e">
        <f>VLOOKUP(A16,Enrollment!A:A,1,FALSE)</f>
        <v>#N/A</v>
      </c>
      <c r="C16" t="str">
        <f>VLOOKUP(A16,Building!A:A,1,FALSE)</f>
        <v>POLICE DPT IUPD</v>
      </c>
      <c r="D16" t="str">
        <f>VLOOKUP(A16,Distance!A:A,1,FALSE)</f>
        <v>POLICE DPT IUPD</v>
      </c>
    </row>
    <row r="17" spans="1:4" x14ac:dyDescent="0.3">
      <c r="A17" t="s">
        <v>487</v>
      </c>
      <c r="B17" t="e">
        <f>VLOOKUP(A17,Enrollment!A:A,1,FALSE)</f>
        <v>#N/A</v>
      </c>
      <c r="C17" t="str">
        <f>VLOOKUP(A17,Building!A:A,1,FALSE)</f>
        <v>711 E SR45/46 GREENHS</v>
      </c>
      <c r="D17" t="str">
        <f>VLOOKUP(A17,Distance!A:A,1,FALSE)</f>
        <v>711 E SR45/46 GREENHS</v>
      </c>
    </row>
    <row r="18" spans="1:4" x14ac:dyDescent="0.3">
      <c r="A18" t="s">
        <v>341</v>
      </c>
      <c r="B18" t="e">
        <f>VLOOKUP(A18,Enrollment!A:A,1,FALSE)</f>
        <v>#N/A</v>
      </c>
      <c r="C18" t="str">
        <f>VLOOKUP(A18,Building!A:A,1,FALSE)</f>
        <v>1901 E 10TH ST</v>
      </c>
      <c r="D18" t="str">
        <f>VLOOKUP(A18,Distance!A:A,1,FALSE)</f>
        <v>1901 E 10TH ST</v>
      </c>
    </row>
    <row r="19" spans="1:4" x14ac:dyDescent="0.3">
      <c r="A19" t="s">
        <v>425</v>
      </c>
      <c r="B19" t="e">
        <f>VLOOKUP(A19,Enrollment!A:A,1,FALSE)</f>
        <v>#N/A</v>
      </c>
      <c r="C19" t="str">
        <f>VLOOKUP(A19,Building!A:A,1,FALSE)</f>
        <v>1103 N FESS AVE</v>
      </c>
      <c r="D19" t="str">
        <f>VLOOKUP(A19,Distance!A:A,1,FALSE)</f>
        <v>1103 N FESS AVE</v>
      </c>
    </row>
    <row r="20" spans="1:4" x14ac:dyDescent="0.3">
      <c r="A20" t="s">
        <v>403</v>
      </c>
      <c r="B20" t="e">
        <f>VLOOKUP(A20,Enrollment!A:A,1,FALSE)</f>
        <v>#N/A</v>
      </c>
      <c r="C20" t="str">
        <f>VLOOKUP(A20,Building!A:A,1,FALSE)</f>
        <v>DEVAULT ALUMNI CENTER</v>
      </c>
      <c r="D20" t="str">
        <f>VLOOKUP(A20,Distance!A:A,1,FALSE)</f>
        <v>DEVAULT ALUMNI CENTER</v>
      </c>
    </row>
    <row r="21" spans="1:4" x14ac:dyDescent="0.3">
      <c r="A21" t="s">
        <v>545</v>
      </c>
      <c r="B21" t="e">
        <f>VLOOKUP(A21,Enrollment!A:A,1,FALSE)</f>
        <v>#N/A</v>
      </c>
      <c r="C21" t="str">
        <f>VLOOKUP(A21,Building!A:A,1,FALSE)</f>
        <v>IUF STORAGE</v>
      </c>
      <c r="D21" t="str">
        <f>VLOOKUP(A21,Distance!A:A,1,FALSE)</f>
        <v>IUF STORAGE</v>
      </c>
    </row>
    <row r="22" spans="1:4" x14ac:dyDescent="0.3">
      <c r="A22" t="s">
        <v>499</v>
      </c>
      <c r="B22" t="e">
        <f>VLOOKUP(A22,Enrollment!A:A,1,FALSE)</f>
        <v>#N/A</v>
      </c>
      <c r="C22" t="str">
        <f>VLOOKUP(A22,Building!A:A,1,FALSE)</f>
        <v>MULTIDISCIPLINARY ENG AND SCI HALL-MESH</v>
      </c>
      <c r="D22" t="str">
        <f>VLOOKUP(A22,Distance!A:A,1,FALSE)</f>
        <v>MULTIDISCIPLINARY ENG AND SCI HALL-MESH</v>
      </c>
    </row>
    <row r="23" spans="1:4" x14ac:dyDescent="0.3">
      <c r="A23" t="s">
        <v>131</v>
      </c>
      <c r="B23" t="str">
        <f>VLOOKUP(A23,Enrollment!A:A,1,FALSE)</f>
        <v>THE HEALTH SCIENCES BUILDING</v>
      </c>
      <c r="C23" t="str">
        <f>VLOOKUP(A23,Building!A:A,1,FALSE)</f>
        <v>THE HEALTH SCIENCES BUILDING</v>
      </c>
      <c r="D23" t="str">
        <f>VLOOKUP(A23,Distance!A:A,1,FALSE)</f>
        <v>THE HEALTH SCIENCES BUILDING</v>
      </c>
    </row>
    <row r="24" spans="1:4" x14ac:dyDescent="0.3">
      <c r="A24" t="s">
        <v>322</v>
      </c>
      <c r="B24" t="e">
        <f>VLOOKUP(A24,Enrollment!A:A,1,FALSE)</f>
        <v>#N/A</v>
      </c>
      <c r="C24" t="str">
        <f>VLOOKUP(A24,Building!A:A,1,FALSE)</f>
        <v>MOFFAT HALL</v>
      </c>
      <c r="D24" t="str">
        <f>VLOOKUP(A24,Distance!A:A,1,FALSE)</f>
        <v>MOFFAT HALL</v>
      </c>
    </row>
    <row r="25" spans="1:4" x14ac:dyDescent="0.3">
      <c r="A25" t="s">
        <v>477</v>
      </c>
      <c r="B25" t="e">
        <f>VLOOKUP(A25,Enrollment!A:A,1,FALSE)</f>
        <v>#N/A</v>
      </c>
      <c r="C25" t="str">
        <f>VLOOKUP(A25,Building!A:A,1,FALSE)</f>
        <v>WILKINSON HALL (VOLLEYBALL/WRESTLING)</v>
      </c>
      <c r="D25" t="str">
        <f>VLOOKUP(A25,Distance!A:A,1,FALSE)</f>
        <v>WILKINSON HALL (VOLLEYBALL/WRESTLING)</v>
      </c>
    </row>
    <row r="26" spans="1:4" x14ac:dyDescent="0.3">
      <c r="A26" t="s">
        <v>456</v>
      </c>
      <c r="B26" t="e">
        <f>VLOOKUP(A26,Enrollment!A:A,1,FALSE)</f>
        <v>#N/A</v>
      </c>
      <c r="C26" t="str">
        <f>VLOOKUP(A26,Building!A:A,1,FALSE)</f>
        <v>LANDSCAPE SVCS</v>
      </c>
      <c r="D26" t="str">
        <f>VLOOKUP(A26,Distance!A:A,1,FALSE)</f>
        <v>LANDSCAPE SVCS</v>
      </c>
    </row>
    <row r="27" spans="1:4" x14ac:dyDescent="0.3">
      <c r="A27" t="s">
        <v>517</v>
      </c>
      <c r="B27" t="e">
        <f>VLOOKUP(A27,Enrollment!A:A,1,FALSE)</f>
        <v>#N/A</v>
      </c>
      <c r="C27" t="str">
        <f>VLOOKUP(A27,Building!A:A,1,FALSE)</f>
        <v>1203 E MATLOCK RD</v>
      </c>
      <c r="D27" t="str">
        <f>VLOOKUP(A27,Distance!A:A,1,FALSE)</f>
        <v>1203 E MATLOCK RD</v>
      </c>
    </row>
    <row r="28" spans="1:4" x14ac:dyDescent="0.3">
      <c r="A28" t="s">
        <v>557</v>
      </c>
      <c r="B28" t="e">
        <f>VLOOKUP(A28,Enrollment!A:A,1,FALSE)</f>
        <v>#N/A</v>
      </c>
      <c r="C28" t="str">
        <f>VLOOKUP(A28,Building!A:A,1,FALSE)</f>
        <v>ZETA TAU ALPHA</v>
      </c>
      <c r="D28" t="str">
        <f>VLOOKUP(A28,Distance!A:A,1,FALSE)</f>
        <v>ZETA TAU ALPHA</v>
      </c>
    </row>
    <row r="29" spans="1:4" x14ac:dyDescent="0.3">
      <c r="A29" t="s">
        <v>478</v>
      </c>
      <c r="B29" t="e">
        <f>VLOOKUP(A29,Enrollment!A:A,1,FALSE)</f>
        <v>#N/A</v>
      </c>
      <c r="C29" t="str">
        <f>VLOOKUP(A29,Building!A:A,1,FALSE)</f>
        <v>MEMORIAL STADIUM</v>
      </c>
      <c r="D29" t="str">
        <f>VLOOKUP(A29,Distance!A:A,1,FALSE)</f>
        <v>MEMORIAL STADIUM</v>
      </c>
    </row>
    <row r="30" spans="1:4" x14ac:dyDescent="0.3">
      <c r="A30" t="s">
        <v>483</v>
      </c>
      <c r="B30" t="e">
        <f>VLOOKUP(A30,Enrollment!A:A,1,FALSE)</f>
        <v>#N/A</v>
      </c>
      <c r="C30" t="str">
        <f>VLOOKUP(A30,Building!A:A,1,FALSE)</f>
        <v>HEADLEY SCH GARAGE</v>
      </c>
      <c r="D30" t="str">
        <f>VLOOKUP(A30,Distance!A:A,1,FALSE)</f>
        <v>HEADLEY SCH GARAGE</v>
      </c>
    </row>
    <row r="31" spans="1:4" x14ac:dyDescent="0.3">
      <c r="A31" t="s">
        <v>454</v>
      </c>
      <c r="B31" t="e">
        <f>VLOOKUP(A31,Enrollment!A:A,1,FALSE)</f>
        <v>#N/A</v>
      </c>
      <c r="C31" t="str">
        <f>VLOOKUP(A31,Building!A:A,1,FALSE)</f>
        <v>FLY MAGNETIC CENTER</v>
      </c>
      <c r="D31" t="str">
        <f>VLOOKUP(A31,Distance!A:A,1,FALSE)</f>
        <v>FLY MAGNETIC CENTER</v>
      </c>
    </row>
    <row r="32" spans="1:4" x14ac:dyDescent="0.3">
      <c r="A32" t="s">
        <v>482</v>
      </c>
      <c r="B32" t="e">
        <f>VLOOKUP(A32,Enrollment!A:A,1,FALSE)</f>
        <v>#N/A</v>
      </c>
      <c r="C32" t="str">
        <f>VLOOKUP(A32,Building!A:A,1,FALSE)</f>
        <v>HEADLEY SCHOOL</v>
      </c>
      <c r="D32" t="str">
        <f>VLOOKUP(A32,Distance!A:A,1,FALSE)</f>
        <v>HEADLEY SCHOOL</v>
      </c>
    </row>
    <row r="33" spans="1:4" x14ac:dyDescent="0.3">
      <c r="A33" t="s">
        <v>313</v>
      </c>
      <c r="B33" t="e">
        <f>VLOOKUP(A33,Enrollment!A:A,1,FALSE)</f>
        <v>#N/A</v>
      </c>
      <c r="C33" t="str">
        <f>VLOOKUP(A33,Building!A:A,1,FALSE)</f>
        <v>JOHNSTON HALL</v>
      </c>
      <c r="D33" t="str">
        <f>VLOOKUP(A33,Distance!A:A,1,FALSE)</f>
        <v>JOHNSTON HALL</v>
      </c>
    </row>
    <row r="34" spans="1:4" x14ac:dyDescent="0.3">
      <c r="A34" t="s">
        <v>593</v>
      </c>
      <c r="B34" t="e">
        <f>VLOOKUP(A34,Enrollment!A:A,1,FALSE)</f>
        <v>#N/A</v>
      </c>
      <c r="C34" t="str">
        <f>VLOOKUP(A34,Building!A:A,1,FALSE)</f>
        <v>UNDERGRADUATE EDUCATION</v>
      </c>
      <c r="D34" t="str">
        <f>VLOOKUP(A34,Distance!A:A,1,FALSE)</f>
        <v>UNDERGRADUATE EDUCATION</v>
      </c>
    </row>
    <row r="35" spans="1:4" x14ac:dyDescent="0.3">
      <c r="A35" t="s">
        <v>462</v>
      </c>
      <c r="B35" t="e">
        <f>VLOOKUP(A35,Enrollment!A:A,1,FALSE)</f>
        <v>#N/A</v>
      </c>
      <c r="C35" t="str">
        <f>VLOOKUP(A35,Building!A:A,1,FALSE)</f>
        <v>INNOVATION CENTER</v>
      </c>
      <c r="D35" t="str">
        <f>VLOOKUP(A35,Distance!A:A,1,FALSE)</f>
        <v>INNOVATION CENTER</v>
      </c>
    </row>
    <row r="36" spans="1:4" x14ac:dyDescent="0.3">
      <c r="A36" t="s">
        <v>461</v>
      </c>
      <c r="B36" t="e">
        <f>VLOOKUP(A36,Enrollment!A:A,1,FALSE)</f>
        <v>#N/A</v>
      </c>
      <c r="C36" t="str">
        <f>VLOOKUP(A36,Building!A:A,1,FALSE)</f>
        <v>GEORGE THOMAS CLUBHOUSE</v>
      </c>
      <c r="D36" t="str">
        <f>VLOOKUP(A36,Distance!A:A,1,FALSE)</f>
        <v>GEORGE THOMAS CLUBHOUSE</v>
      </c>
    </row>
    <row r="37" spans="1:4" x14ac:dyDescent="0.3">
      <c r="A37" t="s">
        <v>594</v>
      </c>
      <c r="B37" t="e">
        <f>VLOOKUP(A37,Enrollment!A:A,1,FALSE)</f>
        <v>#N/A</v>
      </c>
      <c r="C37" t="str">
        <f>VLOOKUP(A37,Building!A:A,1,FALSE)</f>
        <v>FIELD HOCKEY PRESSBOX</v>
      </c>
      <c r="D37" t="str">
        <f>VLOOKUP(A37,Distance!A:A,1,FALSE)</f>
        <v>FIELD HOCKEY PRESSBOX</v>
      </c>
    </row>
    <row r="38" spans="1:4" x14ac:dyDescent="0.3">
      <c r="A38" t="s">
        <v>443</v>
      </c>
      <c r="B38" t="e">
        <f>VLOOKUP(A38,Enrollment!A:A,1,FALSE)</f>
        <v>#N/A</v>
      </c>
      <c r="C38" t="str">
        <f>VLOOKUP(A38,Building!A:A,1,FALSE)</f>
        <v>ROGERS HL ELEV PUMP</v>
      </c>
      <c r="D38" t="str">
        <f>VLOOKUP(A38,Distance!A:A,1,FALSE)</f>
        <v>ROGERS HL ELEV PUMP</v>
      </c>
    </row>
    <row r="39" spans="1:4" x14ac:dyDescent="0.3">
      <c r="A39" t="s">
        <v>51</v>
      </c>
      <c r="B39" t="str">
        <f>VLOOKUP(A39,Enrollment!A:A,1,FALSE)</f>
        <v>BRISCOE QUAD</v>
      </c>
      <c r="C39" t="str">
        <f>VLOOKUP(A39,Building!A:A,1,FALSE)</f>
        <v>BRISCOE QUAD</v>
      </c>
      <c r="D39" t="str">
        <f>VLOOKUP(A39,Distance!A:A,1,FALSE)</f>
        <v>BRISCOE QUAD</v>
      </c>
    </row>
    <row r="40" spans="1:4" x14ac:dyDescent="0.3">
      <c r="A40" t="s">
        <v>572</v>
      </c>
      <c r="B40" t="e">
        <f>VLOOKUP(A40,Enrollment!A:A,1,FALSE)</f>
        <v>#N/A</v>
      </c>
      <c r="C40" t="str">
        <f>VLOOKUP(A40,Building!A:A,1,FALSE)</f>
        <v>THETA CHI</v>
      </c>
      <c r="D40" t="str">
        <f>VLOOKUP(A40,Distance!A:A,1,FALSE)</f>
        <v>THETA CHI</v>
      </c>
    </row>
    <row r="41" spans="1:4" x14ac:dyDescent="0.3">
      <c r="A41" t="s">
        <v>544</v>
      </c>
      <c r="B41" t="e">
        <f>VLOOKUP(A41,Enrollment!A:A,1,FALSE)</f>
        <v>#N/A</v>
      </c>
      <c r="C41" t="str">
        <f>VLOOKUP(A41,Building!A:A,1,FALSE)</f>
        <v>SHOWALTER HOUSE (IU FOUNDATION)</v>
      </c>
      <c r="D41" t="str">
        <f>VLOOKUP(A41,Distance!A:A,1,FALSE)</f>
        <v>SHOWALTER HOUSE (IU FOUNDATION)</v>
      </c>
    </row>
    <row r="42" spans="1:4" x14ac:dyDescent="0.3">
      <c r="A42" t="s">
        <v>465</v>
      </c>
      <c r="B42" t="e">
        <f>VLOOKUP(A42,Enrollment!A:A,1,FALSE)</f>
        <v>#N/A</v>
      </c>
      <c r="C42" t="str">
        <f>VLOOKUP(A42,Building!A:A,1,FALSE)</f>
        <v>SMITH RESEARCH CENTER</v>
      </c>
      <c r="D42" t="str">
        <f>VLOOKUP(A42,Distance!A:A,1,FALSE)</f>
        <v>SMITH RESEARCH CENTER</v>
      </c>
    </row>
    <row r="43" spans="1:4" x14ac:dyDescent="0.3">
      <c r="A43" t="s">
        <v>500</v>
      </c>
      <c r="B43" t="e">
        <f>VLOOKUP(A43,Enrollment!A:A,1,FALSE)</f>
        <v>#N/A</v>
      </c>
      <c r="C43" t="str">
        <f>VLOOKUP(A43,Building!A:A,1,FALSE)</f>
        <v>MESH STORAGE</v>
      </c>
      <c r="D43" t="str">
        <f>VLOOKUP(A43,Distance!A:A,1,FALSE)</f>
        <v>MESH STORAGE</v>
      </c>
    </row>
    <row r="44" spans="1:4" x14ac:dyDescent="0.3">
      <c r="A44" t="s">
        <v>464</v>
      </c>
      <c r="B44" t="e">
        <f>VLOOKUP(A44,Enrollment!A:A,1,FALSE)</f>
        <v>#N/A</v>
      </c>
      <c r="C44" t="str">
        <f>VLOOKUP(A44,Building!A:A,1,FALSE)</f>
        <v>INTERCOL. ATHL. GYM</v>
      </c>
      <c r="D44" t="str">
        <f>VLOOKUP(A44,Distance!A:A,1,FALSE)</f>
        <v>INTERCOL. ATHL. GYM</v>
      </c>
    </row>
    <row r="45" spans="1:4" x14ac:dyDescent="0.3">
      <c r="A45" t="s">
        <v>563</v>
      </c>
      <c r="B45" t="e">
        <f>VLOOKUP(A45,Enrollment!A:A,1,FALSE)</f>
        <v>#N/A</v>
      </c>
      <c r="C45" t="str">
        <f>VLOOKUP(A45,Building!A:A,1,FALSE)</f>
        <v>PHI DELTA THETA</v>
      </c>
      <c r="D45" t="str">
        <f>VLOOKUP(A45,Distance!A:A,1,FALSE)</f>
        <v>PHI DELTA THETA</v>
      </c>
    </row>
    <row r="46" spans="1:4" x14ac:dyDescent="0.3">
      <c r="A46" t="s">
        <v>315</v>
      </c>
      <c r="B46" t="e">
        <f>VLOOKUP(A46,Enrollment!A:A,1,FALSE)</f>
        <v>#N/A</v>
      </c>
      <c r="C46" t="str">
        <f>VLOOKUP(A46,Building!A:A,1,FALSE)</f>
        <v>HICKORY HALL</v>
      </c>
      <c r="D46" t="str">
        <f>VLOOKUP(A46,Distance!A:A,1,FALSE)</f>
        <v>HICKORY HALL</v>
      </c>
    </row>
    <row r="47" spans="1:4" x14ac:dyDescent="0.3">
      <c r="A47" t="s">
        <v>501</v>
      </c>
      <c r="B47" t="e">
        <f>VLOOKUP(A47,Enrollment!A:A,1,FALSE)</f>
        <v>#N/A</v>
      </c>
      <c r="C47" t="str">
        <f>VLOOKUP(A47,Building!A:A,1,FALSE)</f>
        <v>MESH STOR2</v>
      </c>
      <c r="D47" t="str">
        <f>VLOOKUP(A47,Distance!A:A,1,FALSE)</f>
        <v>MESH STOR2</v>
      </c>
    </row>
    <row r="48" spans="1:4" x14ac:dyDescent="0.3">
      <c r="A48" t="s">
        <v>481</v>
      </c>
      <c r="B48" t="e">
        <f>VLOOKUP(A48,Enrollment!A:A,1,FALSE)</f>
        <v>#N/A</v>
      </c>
      <c r="C48" t="str">
        <f>VLOOKUP(A48,Building!A:A,1,FALSE)</f>
        <v>OUTDOOR POOL</v>
      </c>
      <c r="D48" t="str">
        <f>VLOOKUP(A48,Distance!A:A,1,FALSE)</f>
        <v>OUTDOOR POOL</v>
      </c>
    </row>
    <row r="49" spans="1:4" x14ac:dyDescent="0.3">
      <c r="A49" t="s">
        <v>595</v>
      </c>
      <c r="B49" t="e">
        <f>VLOOKUP(A49,Enrollment!A:A,1,FALSE)</f>
        <v>#N/A</v>
      </c>
      <c r="C49" t="str">
        <f>VLOOKUP(A49,Building!A:A,1,FALSE)</f>
        <v>TAU EPSILON PHI</v>
      </c>
      <c r="D49" t="str">
        <f>VLOOKUP(A49,Distance!A:A,1,FALSE)</f>
        <v>TAU EPSILON PHI</v>
      </c>
    </row>
    <row r="50" spans="1:4" x14ac:dyDescent="0.3">
      <c r="A50" t="s">
        <v>468</v>
      </c>
      <c r="B50" t="e">
        <f>VLOOKUP(A50,Enrollment!A:A,1,FALSE)</f>
        <v>#N/A</v>
      </c>
      <c r="C50" t="str">
        <f>VLOOKUP(A50,Building!A:A,1,FALSE)</f>
        <v>CYBERINFRASTRUCTURE BLDG (CIB)</v>
      </c>
      <c r="D50" t="str">
        <f>VLOOKUP(A50,Distance!A:A,1,FALSE)</f>
        <v>CYBERINFRASTRUCTURE BLDG (CIB)</v>
      </c>
    </row>
    <row r="51" spans="1:4" x14ac:dyDescent="0.3">
      <c r="A51" t="s">
        <v>584</v>
      </c>
      <c r="B51" t="e">
        <f>VLOOKUP(A51,Enrollment!A:A,1,FALSE)</f>
        <v>#N/A</v>
      </c>
      <c r="C51" t="str">
        <f>VLOOKUP(A51,Building!A:A,1,FALSE)</f>
        <v>STONE BELT CENTER</v>
      </c>
      <c r="D51" t="str">
        <f>VLOOKUP(A51,Distance!A:A,1,FALSE)</f>
        <v>STONE BELT CENTER</v>
      </c>
    </row>
    <row r="52" spans="1:4" x14ac:dyDescent="0.3">
      <c r="A52" t="s">
        <v>507</v>
      </c>
      <c r="B52" t="e">
        <f>VLOOKUP(A52,Enrollment!A:A,1,FALSE)</f>
        <v>#N/A</v>
      </c>
      <c r="C52" t="str">
        <f>VLOOKUP(A52,Building!A:A,1,FALSE)</f>
        <v>FOOTBALL STORAGE</v>
      </c>
      <c r="D52" t="str">
        <f>VLOOKUP(A52,Distance!A:A,1,FALSE)</f>
        <v>FOOTBALL STORAGE</v>
      </c>
    </row>
    <row r="53" spans="1:4" x14ac:dyDescent="0.3">
      <c r="A53" t="s">
        <v>596</v>
      </c>
      <c r="B53" t="e">
        <f>VLOOKUP(A53,Enrollment!A:A,1,FALSE)</f>
        <v>#N/A</v>
      </c>
      <c r="C53" t="str">
        <f>VLOOKUP(A53,Building!A:A,1,FALSE)</f>
        <v>DELTA TAU DELTA</v>
      </c>
      <c r="D53" t="str">
        <f>VLOOKUP(A53,Distance!A:A,1,FALSE)</f>
        <v>DELTA TAU DELTA</v>
      </c>
    </row>
    <row r="54" spans="1:4" x14ac:dyDescent="0.3">
      <c r="A54" t="s">
        <v>386</v>
      </c>
      <c r="B54" t="e">
        <f>VLOOKUP(A54,Enrollment!A:A,1,FALSE)</f>
        <v>#N/A</v>
      </c>
      <c r="C54" t="str">
        <f>VLOOKUP(A54,Building!A:A,1,FALSE)</f>
        <v>1112 N INDIANA AVE</v>
      </c>
      <c r="D54" t="str">
        <f>VLOOKUP(A54,Distance!A:A,1,FALSE)</f>
        <v>1112 N INDIANA AVE</v>
      </c>
    </row>
    <row r="55" spans="1:4" x14ac:dyDescent="0.3">
      <c r="A55" t="s">
        <v>472</v>
      </c>
      <c r="B55" t="e">
        <f>VLOOKUP(A55,Enrollment!A:A,1,FALSE)</f>
        <v>#N/A</v>
      </c>
      <c r="C55" t="str">
        <f>VLOOKUP(A55,Building!A:A,1,FALSE)</f>
        <v>ANDY MOHR FIELD</v>
      </c>
      <c r="D55" t="str">
        <f>VLOOKUP(A55,Distance!A:A,1,FALSE)</f>
        <v>ANDY MOHR FIELD</v>
      </c>
    </row>
    <row r="56" spans="1:4" x14ac:dyDescent="0.3">
      <c r="A56" t="s">
        <v>588</v>
      </c>
      <c r="B56" t="e">
        <f>VLOOKUP(A56,Enrollment!A:A,1,FALSE)</f>
        <v>#N/A</v>
      </c>
      <c r="C56" t="str">
        <f>VLOOKUP(A56,Building!A:A,1,FALSE)</f>
        <v>1708 N FEE LANE</v>
      </c>
      <c r="D56" t="str">
        <f>VLOOKUP(A56,Distance!A:A,1,FALSE)</f>
        <v>1708 N FEE LANE</v>
      </c>
    </row>
    <row r="57" spans="1:4" x14ac:dyDescent="0.3">
      <c r="A57" t="s">
        <v>446</v>
      </c>
      <c r="B57" t="e">
        <f>VLOOKUP(A57,Enrollment!A:A,1,FALSE)</f>
        <v>#N/A</v>
      </c>
      <c r="C57" t="str">
        <f>VLOOKUP(A57,Building!A:A,1,FALSE)</f>
        <v>CAMPUS VIEW APARTMENTS</v>
      </c>
      <c r="D57" t="str">
        <f>VLOOKUP(A57,Distance!A:A,1,FALSE)</f>
        <v>CAMPUS VIEW APARTMENTS</v>
      </c>
    </row>
    <row r="58" spans="1:4" x14ac:dyDescent="0.3">
      <c r="A58" t="s">
        <v>597</v>
      </c>
      <c r="B58" t="e">
        <f>VLOOKUP(A58,Enrollment!A:A,1,FALSE)</f>
        <v>#N/A</v>
      </c>
      <c r="C58" t="str">
        <f>VLOOKUP(A58,Building!A:A,1,FALSE)</f>
        <v>PHI SIGMA KAPPA</v>
      </c>
      <c r="D58" t="str">
        <f>VLOOKUP(A58,Distance!A:A,1,FALSE)</f>
        <v>PHI SIGMA KAPPA</v>
      </c>
    </row>
    <row r="59" spans="1:4" x14ac:dyDescent="0.3">
      <c r="A59" t="s">
        <v>512</v>
      </c>
      <c r="B59" t="e">
        <f>VLOOKUP(A59,Enrollment!A:A,1,FALSE)</f>
        <v>#N/A</v>
      </c>
      <c r="C59" t="str">
        <f>VLOOKUP(A59,Building!A:A,1,FALSE)</f>
        <v>MOTOR POOL</v>
      </c>
      <c r="D59" t="str">
        <f>VLOOKUP(A59,Distance!A:A,1,FALSE)</f>
        <v>MOTOR POOL</v>
      </c>
    </row>
    <row r="60" spans="1:4" x14ac:dyDescent="0.3">
      <c r="A60" t="s">
        <v>445</v>
      </c>
      <c r="B60" t="e">
        <f>VLOOKUP(A60,Enrollment!A:A,1,FALSE)</f>
        <v>#N/A</v>
      </c>
      <c r="C60" t="str">
        <f>VLOOKUP(A60,Building!A:A,1,FALSE)</f>
        <v>HOOSIER COURTS D/C</v>
      </c>
      <c r="D60" t="str">
        <f>VLOOKUP(A60,Distance!A:A,1,FALSE)</f>
        <v>HOOSIER COURTS D/C</v>
      </c>
    </row>
    <row r="61" spans="1:4" x14ac:dyDescent="0.3">
      <c r="A61" t="s">
        <v>497</v>
      </c>
      <c r="B61" t="e">
        <f>VLOOKUP(A61,Enrollment!A:A,1,FALSE)</f>
        <v>#N/A</v>
      </c>
      <c r="C61" t="str">
        <f>VLOOKUP(A61,Building!A:A,1,FALSE)</f>
        <v>WEATHERS GOLF TEAM CENTER</v>
      </c>
      <c r="D61" t="str">
        <f>VLOOKUP(A61,Distance!A:A,1,FALSE)</f>
        <v>WEATHERS GOLF TEAM CENTER</v>
      </c>
    </row>
    <row r="62" spans="1:4" x14ac:dyDescent="0.3">
      <c r="A62" t="s">
        <v>447</v>
      </c>
      <c r="B62" t="e">
        <f>VLOOKUP(A62,Enrollment!A:A,1,FALSE)</f>
        <v>#N/A</v>
      </c>
      <c r="C62" t="str">
        <f>VLOOKUP(A62,Building!A:A,1,FALSE)</f>
        <v>BOTANY GREENHOUSE</v>
      </c>
      <c r="D62" t="str">
        <f>VLOOKUP(A62,Distance!A:A,1,FALSE)</f>
        <v>BOTANY GREENHOUSE</v>
      </c>
    </row>
    <row r="63" spans="1:4" x14ac:dyDescent="0.3">
      <c r="A63" t="s">
        <v>437</v>
      </c>
      <c r="B63" t="e">
        <f>VLOOKUP(A63,Enrollment!A:A,1,FALSE)</f>
        <v>#N/A</v>
      </c>
      <c r="C63" t="str">
        <f>VLOOKUP(A63,Building!A:A,1,FALSE)</f>
        <v>NELSON RPS ADMIN.</v>
      </c>
      <c r="D63" t="str">
        <f>VLOOKUP(A63,Distance!A:A,1,FALSE)</f>
        <v>NELSON RPS ADMIN.</v>
      </c>
    </row>
    <row r="64" spans="1:4" x14ac:dyDescent="0.3">
      <c r="A64" t="s">
        <v>471</v>
      </c>
      <c r="B64" t="e">
        <f>VLOOKUP(A64,Enrollment!A:A,1,FALSE)</f>
        <v>#N/A</v>
      </c>
      <c r="C64" t="str">
        <f>VLOOKUP(A64,Building!A:A,1,FALSE)</f>
        <v>BART KAUFMAN FIELD</v>
      </c>
      <c r="D64" t="str">
        <f>VLOOKUP(A64,Distance!A:A,1,FALSE)</f>
        <v>BART KAUFMAN FIELD</v>
      </c>
    </row>
    <row r="65" spans="1:4" x14ac:dyDescent="0.3">
      <c r="A65" t="s">
        <v>488</v>
      </c>
      <c r="B65" t="e">
        <f>VLOOKUP(A65,Enrollment!A:A,1,FALSE)</f>
        <v>#N/A</v>
      </c>
      <c r="C65" t="str">
        <f>VLOOKUP(A65,Building!A:A,1,FALSE)</f>
        <v>1001 E SR 45 46 BYP</v>
      </c>
      <c r="D65" t="str">
        <f>VLOOKUP(A65,Distance!A:A,1,FALSE)</f>
        <v>1001 E SR 45 46 BYP</v>
      </c>
    </row>
    <row r="66" spans="1:4" x14ac:dyDescent="0.3">
      <c r="A66" t="s">
        <v>485</v>
      </c>
      <c r="B66" t="e">
        <f>VLOOKUP(A66,Enrollment!A:A,1,FALSE)</f>
        <v>#N/A</v>
      </c>
      <c r="C66" t="str">
        <f>VLOOKUP(A66,Building!A:A,1,FALSE)</f>
        <v>1704 N FEE LN</v>
      </c>
      <c r="D66" t="str">
        <f>VLOOKUP(A66,Distance!A:A,1,FALSE)</f>
        <v>1704 N FEE LN</v>
      </c>
    </row>
    <row r="67" spans="1:4" x14ac:dyDescent="0.3">
      <c r="A67" t="s">
        <v>508</v>
      </c>
      <c r="B67" t="e">
        <f>VLOOKUP(A67,Enrollment!A:A,1,FALSE)</f>
        <v>#N/A</v>
      </c>
      <c r="C67" t="str">
        <f>VLOOKUP(A67,Building!A:A,1,FALSE)</f>
        <v>ALF III</v>
      </c>
      <c r="D67" t="str">
        <f>VLOOKUP(A67,Distance!A:A,1,FALSE)</f>
        <v>ALF III</v>
      </c>
    </row>
    <row r="68" spans="1:4" x14ac:dyDescent="0.3">
      <c r="A68" t="s">
        <v>509</v>
      </c>
      <c r="B68" t="e">
        <f>VLOOKUP(A68,Enrollment!A:A,1,FALSE)</f>
        <v>#N/A</v>
      </c>
      <c r="C68" t="str">
        <f>VLOOKUP(A68,Building!A:A,1,FALSE)</f>
        <v>ALF-RUTH LILLY AUXILIARY LIBRARY</v>
      </c>
      <c r="D68" t="str">
        <f>VLOOKUP(A68,Distance!A:A,1,FALSE)</f>
        <v>ALF-RUTH LILLY AUXILIARY LIBRARY</v>
      </c>
    </row>
    <row r="69" spans="1:4" x14ac:dyDescent="0.3">
      <c r="A69" t="s">
        <v>466</v>
      </c>
      <c r="B69" t="e">
        <f>VLOOKUP(A69,Enrollment!A:A,1,FALSE)</f>
        <v>#N/A</v>
      </c>
      <c r="C69" t="str">
        <f>VLOOKUP(A69,Building!A:A,1,FALSE)</f>
        <v>CHILDRENS CENTER</v>
      </c>
      <c r="D69" t="str">
        <f>VLOOKUP(A69,Distance!A:A,1,FALSE)</f>
        <v>CHILDRENS CENTER</v>
      </c>
    </row>
    <row r="70" spans="1:4" x14ac:dyDescent="0.3">
      <c r="A70" t="s">
        <v>442</v>
      </c>
      <c r="B70" t="e">
        <f>VLOOKUP(A70,Enrollment!A:A,1,FALSE)</f>
        <v>#N/A</v>
      </c>
      <c r="C70" t="str">
        <f>VLOOKUP(A70,Building!A:A,1,FALSE)</f>
        <v>PARKING BOOTH</v>
      </c>
      <c r="D70" t="str">
        <f>VLOOKUP(A70,Distance!A:A,1,FALSE)</f>
        <v>PARKING BOOTH</v>
      </c>
    </row>
    <row r="71" spans="1:4" x14ac:dyDescent="0.3">
      <c r="A71" t="s">
        <v>574</v>
      </c>
      <c r="B71" t="e">
        <f>VLOOKUP(A71,Enrollment!A:A,1,FALSE)</f>
        <v>#N/A</v>
      </c>
      <c r="C71" t="str">
        <f>VLOOKUP(A71,Building!A:A,1,FALSE)</f>
        <v>PHI MU</v>
      </c>
      <c r="D71" t="str">
        <f>VLOOKUP(A71,Distance!A:A,1,FALSE)</f>
        <v>PHI MU</v>
      </c>
    </row>
    <row r="72" spans="1:4" x14ac:dyDescent="0.3">
      <c r="A72" t="s">
        <v>467</v>
      </c>
      <c r="B72" t="e">
        <f>VLOOKUP(A72,Enrollment!A:A,1,FALSE)</f>
        <v>#N/A</v>
      </c>
      <c r="C72" t="str">
        <f>VLOOKUP(A72,Building!A:A,1,FALSE)</f>
        <v>ROTC SUPPLY CENTER</v>
      </c>
      <c r="D72" t="str">
        <f>VLOOKUP(A72,Distance!A:A,1,FALSE)</f>
        <v>ROTC SUPPLY CENTER</v>
      </c>
    </row>
    <row r="73" spans="1:4" x14ac:dyDescent="0.3">
      <c r="A73" t="s">
        <v>489</v>
      </c>
      <c r="B73" t="e">
        <f>VLOOKUP(A73,Enrollment!A:A,1,FALSE)</f>
        <v>#N/A</v>
      </c>
      <c r="C73" t="str">
        <f>VLOOKUP(A73,Building!A:A,1,FALSE)</f>
        <v>721 E STATE RD 45/46 BYP</v>
      </c>
      <c r="D73" t="str">
        <f>VLOOKUP(A73,Distance!A:A,1,FALSE)</f>
        <v>721 E STATE RD 45/46 BYP</v>
      </c>
    </row>
    <row r="74" spans="1:4" x14ac:dyDescent="0.3">
      <c r="A74" t="s">
        <v>506</v>
      </c>
      <c r="B74" t="e">
        <f>VLOOKUP(A74,Enrollment!A:A,1,FALSE)</f>
        <v>#N/A</v>
      </c>
      <c r="C74" t="str">
        <f>VLOOKUP(A74,Building!A:A,1,FALSE)</f>
        <v>IRELAND FAMILY FIELDHOUSE</v>
      </c>
      <c r="D74" t="str">
        <f>VLOOKUP(A74,Distance!A:A,1,FALSE)</f>
        <v>IRELAND FAMILY FIELDHOUSE</v>
      </c>
    </row>
    <row r="75" spans="1:4" x14ac:dyDescent="0.3">
      <c r="A75" t="s">
        <v>323</v>
      </c>
      <c r="B75" t="e">
        <f>VLOOKUP(A75,Enrollment!A:A,1,FALSE)</f>
        <v>#N/A</v>
      </c>
      <c r="C75" t="str">
        <f>VLOOKUP(A75,Building!A:A,1,FALSE)</f>
        <v>GRIGGS LOUNGE</v>
      </c>
      <c r="D75" t="str">
        <f>VLOOKUP(A75,Distance!A:A,1,FALSE)</f>
        <v>GRIGGS LOUNGE</v>
      </c>
    </row>
    <row r="76" spans="1:4" x14ac:dyDescent="0.3">
      <c r="A76" t="s">
        <v>52</v>
      </c>
      <c r="B76" t="str">
        <f>VLOOKUP(A76,Enrollment!A:A,1,FALSE)</f>
        <v>CEDAR HALL</v>
      </c>
      <c r="C76" t="str">
        <f>VLOOKUP(A76,Building!A:A,1,FALSE)</f>
        <v>CEDAR HALL</v>
      </c>
      <c r="D76" t="str">
        <f>VLOOKUP(A76,Distance!A:A,1,FALSE)</f>
        <v>CEDAR HALL</v>
      </c>
    </row>
    <row r="77" spans="1:4" x14ac:dyDescent="0.3">
      <c r="A77" t="s">
        <v>476</v>
      </c>
      <c r="B77" t="e">
        <f>VLOOKUP(A77,Enrollment!A:A,1,FALSE)</f>
        <v>#N/A</v>
      </c>
      <c r="C77" t="str">
        <f>VLOOKUP(A77,Building!A:A,1,FALSE)</f>
        <v>HAYES TRACK PRESSBOX</v>
      </c>
      <c r="D77" t="str">
        <f>VLOOKUP(A77,Distance!A:A,1,FALSE)</f>
        <v>HAYES TRACK PRESSBOX</v>
      </c>
    </row>
    <row r="78" spans="1:4" x14ac:dyDescent="0.3">
      <c r="A78" t="s">
        <v>470</v>
      </c>
      <c r="B78" t="e">
        <f>VLOOKUP(A78,Enrollment!A:A,1,FALSE)</f>
        <v>#N/A</v>
      </c>
      <c r="C78" t="str">
        <f>VLOOKUP(A78,Building!A:A,1,FALSE)</f>
        <v>DISABILITY &amp; COMMUNITY</v>
      </c>
      <c r="D78" t="str">
        <f>VLOOKUP(A78,Distance!A:A,1,FALSE)</f>
        <v>DISABILITY &amp; COMMUNITY</v>
      </c>
    </row>
    <row r="79" spans="1:4" x14ac:dyDescent="0.3">
      <c r="A79" t="s">
        <v>554</v>
      </c>
      <c r="B79" t="e">
        <f>VLOOKUP(A79,Enrollment!A:A,1,FALSE)</f>
        <v>#N/A</v>
      </c>
      <c r="C79" t="str">
        <f>VLOOKUP(A79,Building!A:A,1,FALSE)</f>
        <v>SIGMA PHI EPSILON</v>
      </c>
      <c r="D79" t="str">
        <f>VLOOKUP(A79,Distance!A:A,1,FALSE)</f>
        <v>SIGMA PHI EPSILON</v>
      </c>
    </row>
    <row r="80" spans="1:4" x14ac:dyDescent="0.3">
      <c r="A80" t="s">
        <v>448</v>
      </c>
      <c r="B80" t="e">
        <f>VLOOKUP(A80,Enrollment!A:A,1,FALSE)</f>
        <v>#N/A</v>
      </c>
      <c r="C80" t="str">
        <f>VLOOKUP(A80,Building!A:A,1,FALSE)</f>
        <v>JUNIOR GARDENING</v>
      </c>
      <c r="D80" t="str">
        <f>VLOOKUP(A80,Distance!A:A,1,FALSE)</f>
        <v>JUNIOR GARDENING</v>
      </c>
    </row>
    <row r="81" spans="1:4" x14ac:dyDescent="0.3">
      <c r="A81" t="s">
        <v>493</v>
      </c>
      <c r="B81" t="e">
        <f>VLOOKUP(A81,Enrollment!A:A,1,FALSE)</f>
        <v>#N/A</v>
      </c>
      <c r="C81" t="str">
        <f>VLOOKUP(A81,Building!A:A,1,FALSE)</f>
        <v>COOK HALL</v>
      </c>
      <c r="D81" t="str">
        <f>VLOOKUP(A81,Distance!A:A,1,FALSE)</f>
        <v>COOK HALL</v>
      </c>
    </row>
    <row r="82" spans="1:4" x14ac:dyDescent="0.3">
      <c r="A82" t="s">
        <v>494</v>
      </c>
      <c r="B82" t="e">
        <f>VLOOKUP(A82,Enrollment!A:A,1,FALSE)</f>
        <v>#N/A</v>
      </c>
      <c r="C82" t="str">
        <f>VLOOKUP(A82,Building!A:A,1,FALSE)</f>
        <v>GOLF MAINTENANCE</v>
      </c>
      <c r="D82" t="str">
        <f>VLOOKUP(A82,Distance!A:A,1,FALSE)</f>
        <v>GOLF MAINTENANCE</v>
      </c>
    </row>
    <row r="83" spans="1:4" x14ac:dyDescent="0.3">
      <c r="A83" t="s">
        <v>453</v>
      </c>
      <c r="B83" t="e">
        <f>VLOOKUP(A83,Enrollment!A:A,1,FALSE)</f>
        <v>#N/A</v>
      </c>
      <c r="C83" t="str">
        <f>VLOOKUP(A83,Building!A:A,1,FALSE)</f>
        <v>HILLTOP GARDEN CENTER</v>
      </c>
      <c r="D83" t="str">
        <f>VLOOKUP(A83,Distance!A:A,1,FALSE)</f>
        <v>HILLTOP GARDEN CENTER</v>
      </c>
    </row>
    <row r="84" spans="1:4" x14ac:dyDescent="0.3">
      <c r="A84" t="s">
        <v>480</v>
      </c>
      <c r="B84" t="e">
        <f>VLOOKUP(A84,Enrollment!A:A,1,FALSE)</f>
        <v>#N/A</v>
      </c>
      <c r="C84" t="str">
        <f>VLOOKUP(A84,Building!A:A,1,FALSE)</f>
        <v>WILCOX HOUSE</v>
      </c>
      <c r="D84" t="str">
        <f>VLOOKUP(A84,Distance!A:A,1,FALSE)</f>
        <v>WILCOX HOUSE</v>
      </c>
    </row>
    <row r="85" spans="1:4" x14ac:dyDescent="0.3">
      <c r="A85" t="s">
        <v>575</v>
      </c>
      <c r="B85" t="e">
        <f>VLOOKUP(A85,Enrollment!A:A,1,FALSE)</f>
        <v>#N/A</v>
      </c>
      <c r="C85" t="str">
        <f>VLOOKUP(A85,Building!A:A,1,FALSE)</f>
        <v>ALPHA SIGMA PHI</v>
      </c>
      <c r="D85" t="str">
        <f>VLOOKUP(A85,Distance!A:A,1,FALSE)</f>
        <v>ALPHA SIGMA PHI</v>
      </c>
    </row>
    <row r="86" spans="1:4" x14ac:dyDescent="0.3">
      <c r="A86" t="s">
        <v>503</v>
      </c>
      <c r="B86" t="e">
        <f>VLOOKUP(A86,Enrollment!A:A,1,FALSE)</f>
        <v>#N/A</v>
      </c>
      <c r="C86" t="str">
        <f>VLOOKUP(A86,Building!A:A,1,FALSE)</f>
        <v>ARMSTRONG PRESSBOX</v>
      </c>
      <c r="D86" t="str">
        <f>VLOOKUP(A86,Distance!A:A,1,FALSE)</f>
        <v>ARMSTRONG PRESSBOX</v>
      </c>
    </row>
    <row r="87" spans="1:4" x14ac:dyDescent="0.3">
      <c r="A87" t="s">
        <v>479</v>
      </c>
      <c r="B87" t="e">
        <f>VLOOKUP(A87,Enrollment!A:A,1,FALSE)</f>
        <v>#N/A</v>
      </c>
      <c r="C87" t="str">
        <f>VLOOKUP(A87,Building!A:A,1,FALSE)</f>
        <v>TENNIS CENTER</v>
      </c>
      <c r="D87" t="str">
        <f>VLOOKUP(A87,Distance!A:A,1,FALSE)</f>
        <v>TENNIS CENTER</v>
      </c>
    </row>
    <row r="88" spans="1:4" x14ac:dyDescent="0.3">
      <c r="A88" t="s">
        <v>555</v>
      </c>
      <c r="B88" t="e">
        <f>VLOOKUP(A88,Enrollment!A:A,1,FALSE)</f>
        <v>#N/A</v>
      </c>
      <c r="C88" t="str">
        <f>VLOOKUP(A88,Building!A:A,1,FALSE)</f>
        <v>KAPPA DELTA</v>
      </c>
      <c r="D88" t="str">
        <f>VLOOKUP(A88,Distance!A:A,1,FALSE)</f>
        <v>KAPPA DELTA</v>
      </c>
    </row>
    <row r="89" spans="1:4" x14ac:dyDescent="0.3">
      <c r="A89" t="s">
        <v>515</v>
      </c>
      <c r="B89" t="e">
        <f>VLOOKUP(A89,Enrollment!A:A,1,FALSE)</f>
        <v>#N/A</v>
      </c>
      <c r="C89" t="str">
        <f>VLOOKUP(A89,Building!A:A,1,FALSE)</f>
        <v>2204 N HEADLEY RD</v>
      </c>
      <c r="D89" t="str">
        <f>VLOOKUP(A89,Distance!A:A,1,FALSE)</f>
        <v>2204 N HEADLEY RD</v>
      </c>
    </row>
    <row r="90" spans="1:4" x14ac:dyDescent="0.3">
      <c r="A90" t="s">
        <v>116</v>
      </c>
      <c r="B90" t="str">
        <f>VLOOKUP(A90,Enrollment!A:A,1,FALSE)</f>
        <v>RECREATIONAL SPORTS</v>
      </c>
      <c r="C90" t="str">
        <f>VLOOKUP(A90,Building!A:A,1,FALSE)</f>
        <v>RECREATIONAL SPORTS</v>
      </c>
      <c r="D90" t="str">
        <f>VLOOKUP(A90,Distance!A:A,1,FALSE)</f>
        <v>RECREATIONAL SPORTS</v>
      </c>
    </row>
    <row r="91" spans="1:4" x14ac:dyDescent="0.3">
      <c r="A91" t="s">
        <v>562</v>
      </c>
      <c r="B91" t="e">
        <f>VLOOKUP(A91,Enrollment!A:A,1,FALSE)</f>
        <v>#N/A</v>
      </c>
      <c r="C91" t="str">
        <f>VLOOKUP(A91,Building!A:A,1,FALSE)</f>
        <v>ALPHA EPSILON PHI</v>
      </c>
      <c r="D91" t="str">
        <f>VLOOKUP(A91,Distance!A:A,1,FALSE)</f>
        <v>ALPHA EPSILON PHI</v>
      </c>
    </row>
    <row r="92" spans="1:4" x14ac:dyDescent="0.3">
      <c r="A92" t="s">
        <v>585</v>
      </c>
      <c r="B92" t="e">
        <f>VLOOKUP(A92,Enrollment!A:A,1,FALSE)</f>
        <v>#N/A</v>
      </c>
      <c r="C92" t="str">
        <f>VLOOKUP(A92,Building!A:A,1,FALSE)</f>
        <v>SCCAP GREENHOUSE</v>
      </c>
      <c r="D92" t="str">
        <f>VLOOKUP(A92,Distance!A:A,1,FALSE)</f>
        <v>SCCAP GREENHOUSE</v>
      </c>
    </row>
    <row r="93" spans="1:4" x14ac:dyDescent="0.3">
      <c r="A93" t="s">
        <v>440</v>
      </c>
      <c r="B93" t="e">
        <f>VLOOKUP(A93,Enrollment!A:A,1,FALSE)</f>
        <v>#N/A</v>
      </c>
      <c r="C93" t="str">
        <f>VLOOKUP(A93,Building!A:A,1,FALSE)</f>
        <v>1357 E 10TH ST</v>
      </c>
      <c r="D93" t="str">
        <f>VLOOKUP(A93,Distance!A:A,1,FALSE)</f>
        <v>1357 E 10TH ST</v>
      </c>
    </row>
    <row r="94" spans="1:4" x14ac:dyDescent="0.3">
      <c r="A94" t="s">
        <v>498</v>
      </c>
      <c r="B94" t="e">
        <f>VLOOKUP(A94,Enrollment!A:A,1,FALSE)</f>
        <v>#N/A</v>
      </c>
      <c r="C94" t="str">
        <f>VLOOKUP(A94,Building!A:A,1,FALSE)</f>
        <v>IU GOLF TEACHING AND TRAINING CENTER</v>
      </c>
      <c r="D94" t="str">
        <f>VLOOKUP(A94,Distance!A:A,1,FALSE)</f>
        <v>IU GOLF TEACHING AND TRAINING CENTER</v>
      </c>
    </row>
    <row r="95" spans="1:4" x14ac:dyDescent="0.3">
      <c r="A95" t="s">
        <v>496</v>
      </c>
      <c r="B95" t="e">
        <f>VLOOKUP(A95,Enrollment!A:A,1,FALSE)</f>
        <v>#N/A</v>
      </c>
      <c r="C95" t="str">
        <f>VLOOKUP(A95,Building!A:A,1,FALSE)</f>
        <v>GOLF PUMPHOUSE</v>
      </c>
      <c r="D95" t="str">
        <f>VLOOKUP(A95,Distance!A:A,1,FALSE)</f>
        <v>GOLF PUMPHOUSE</v>
      </c>
    </row>
    <row r="96" spans="1:4" x14ac:dyDescent="0.3">
      <c r="A96" t="s">
        <v>519</v>
      </c>
      <c r="B96" t="e">
        <f>VLOOKUP(A96,Enrollment!A:A,1,FALSE)</f>
        <v>#N/A</v>
      </c>
      <c r="C96" t="str">
        <f>VLOOKUP(A96,Building!A:A,1,FALSE)</f>
        <v>SERVICE BLDG</v>
      </c>
      <c r="D96" t="str">
        <f>VLOOKUP(A96,Distance!A:A,1,FALSE)</f>
        <v>SERVICE BLDG</v>
      </c>
    </row>
    <row r="97" spans="1:4" x14ac:dyDescent="0.3">
      <c r="A97" t="s">
        <v>177</v>
      </c>
      <c r="B97" t="str">
        <f>VLOOKUP(A97,Enrollment!A:A,1,FALSE)</f>
        <v>EIGENMANN HALL</v>
      </c>
      <c r="C97" t="str">
        <f>VLOOKUP(A97,Building!A:A,1,FALSE)</f>
        <v>EIGENMANN HALL</v>
      </c>
      <c r="D97" t="str">
        <f>VLOOKUP(A97,Distance!A:A,1,FALSE)</f>
        <v>EIGENMANN HALL</v>
      </c>
    </row>
    <row r="98" spans="1:4" x14ac:dyDescent="0.3">
      <c r="A98" t="s">
        <v>455</v>
      </c>
      <c r="B98" t="e">
        <f>VLOOKUP(A98,Enrollment!A:A,1,FALSE)</f>
        <v>#N/A</v>
      </c>
      <c r="C98" t="str">
        <f>VLOOKUP(A98,Building!A:A,1,FALSE)</f>
        <v>TULIP TREE APTS</v>
      </c>
      <c r="D98" t="str">
        <f>VLOOKUP(A98,Distance!A:A,1,FALSE)</f>
        <v>TULIP TREE APTS</v>
      </c>
    </row>
    <row r="99" spans="1:4" x14ac:dyDescent="0.3">
      <c r="A99" t="s">
        <v>424</v>
      </c>
      <c r="B99" t="e">
        <f>VLOOKUP(A99,Enrollment!A:A,1,FALSE)</f>
        <v>#N/A</v>
      </c>
      <c r="C99" t="str">
        <f>VLOOKUP(A99,Building!A:A,1,FALSE)</f>
        <v>615 E 14TH ST</v>
      </c>
      <c r="D99" t="str">
        <f>VLOOKUP(A99,Distance!A:A,1,FALSE)</f>
        <v>615 E 14TH ST</v>
      </c>
    </row>
    <row r="100" spans="1:4" x14ac:dyDescent="0.3">
      <c r="A100" t="s">
        <v>504</v>
      </c>
      <c r="B100" t="e">
        <f>VLOOKUP(A100,Enrollment!A:A,1,FALSE)</f>
        <v>#N/A</v>
      </c>
      <c r="C100" t="str">
        <f>VLOOKUP(A100,Building!A:A,1,FALSE)</f>
        <v>ARMSTRONG CONCESSIONS/RESTROOMS</v>
      </c>
      <c r="D100" t="str">
        <f>VLOOKUP(A100,Distance!A:A,1,FALSE)</f>
        <v>ARMSTRONG CONCESSIONS/RESTROOMS</v>
      </c>
    </row>
    <row r="101" spans="1:4" x14ac:dyDescent="0.3">
      <c r="A101" t="s">
        <v>505</v>
      </c>
      <c r="B101" t="e">
        <f>VLOOKUP(A101,Enrollment!A:A,1,FALSE)</f>
        <v>#N/A</v>
      </c>
      <c r="C101" t="str">
        <f>VLOOKUP(A101,Building!A:A,1,FALSE)</f>
        <v>CIRCLE OF CHAMPIONS</v>
      </c>
      <c r="D101" t="str">
        <f>VLOOKUP(A101,Distance!A:A,1,FALSE)</f>
        <v>CIRCLE OF CHAMPIONS</v>
      </c>
    </row>
    <row r="102" spans="1:4" x14ac:dyDescent="0.3">
      <c r="A102" t="s">
        <v>463</v>
      </c>
      <c r="B102" t="e">
        <f>VLOOKUP(A102,Enrollment!A:A,1,FALSE)</f>
        <v>#N/A</v>
      </c>
      <c r="C102" t="str">
        <f>VLOOKUP(A102,Building!A:A,1,FALSE)</f>
        <v>GLOBAL NOC BUILDING</v>
      </c>
      <c r="D102" t="str">
        <f>VLOOKUP(A102,Distance!A:A,1,FALSE)</f>
        <v>GLOBAL NOC BUILDING</v>
      </c>
    </row>
    <row r="103" spans="1:4" x14ac:dyDescent="0.3">
      <c r="A103" t="s">
        <v>558</v>
      </c>
      <c r="B103" t="e">
        <f>VLOOKUP(A103,Enrollment!A:A,1,FALSE)</f>
        <v>#N/A</v>
      </c>
      <c r="C103" t="str">
        <f>VLOOKUP(A103,Building!A:A,1,FALSE)</f>
        <v>SIGMA NU</v>
      </c>
      <c r="D103" t="str">
        <f>VLOOKUP(A103,Distance!A:A,1,FALSE)</f>
        <v>SIGMA NU</v>
      </c>
    </row>
    <row r="104" spans="1:4" x14ac:dyDescent="0.3">
      <c r="A104" t="s">
        <v>97</v>
      </c>
      <c r="B104" t="str">
        <f>VLOOKUP(A104,Enrollment!A:A,1,FALSE)</f>
        <v>MCNUTT CENTRAL</v>
      </c>
      <c r="C104" t="str">
        <f>VLOOKUP(A104,Building!A:A,1,FALSE)</f>
        <v>MCNUTT CENTRAL</v>
      </c>
      <c r="D104" t="str">
        <f>VLOOKUP(A104,Distance!A:A,1,FALSE)</f>
        <v>MCNUTT CENTRAL</v>
      </c>
    </row>
    <row r="105" spans="1:4" x14ac:dyDescent="0.3">
      <c r="A105" t="s">
        <v>416</v>
      </c>
      <c r="B105" t="e">
        <f>VLOOKUP(A105,Enrollment!A:A,1,FALSE)</f>
        <v>#N/A</v>
      </c>
      <c r="C105" t="str">
        <f>VLOOKUP(A105,Building!A:A,1,FALSE)</f>
        <v>908 E 14TH ST: GARAGE</v>
      </c>
      <c r="D105" t="str">
        <f>VLOOKUP(A105,Distance!A:A,1,FALSE)</f>
        <v>908 E 14TH ST: GARAGE</v>
      </c>
    </row>
    <row r="106" spans="1:4" x14ac:dyDescent="0.3">
      <c r="A106" t="s">
        <v>408</v>
      </c>
      <c r="B106" t="e">
        <f>VLOOKUP(A106,Enrollment!A:A,1,FALSE)</f>
        <v>#N/A</v>
      </c>
      <c r="C106" t="str">
        <f>VLOOKUP(A106,Building!A:A,1,FALSE)</f>
        <v>901 N WOODLAWN AVE</v>
      </c>
      <c r="D106" t="str">
        <f>VLOOKUP(A106,Distance!A:A,1,FALSE)</f>
        <v>901 N WOODLAWN AVE</v>
      </c>
    </row>
    <row r="107" spans="1:4" x14ac:dyDescent="0.3">
      <c r="A107" t="s">
        <v>591</v>
      </c>
      <c r="B107" t="e">
        <f>VLOOKUP(A107,Enrollment!A:A,1,FALSE)</f>
        <v>#N/A</v>
      </c>
      <c r="C107" t="str">
        <f>VLOOKUP(A107,Building!A:A,1,FALSE)</f>
        <v>FORREST AVENUE PARKING GARAGE</v>
      </c>
      <c r="D107" t="str">
        <f>VLOOKUP(A107,Distance!A:A,1,FALSE)</f>
        <v>FORREST AVENUE PARKING GARAGE</v>
      </c>
    </row>
    <row r="108" spans="1:4" x14ac:dyDescent="0.3">
      <c r="A108" t="s">
        <v>390</v>
      </c>
      <c r="B108" t="e">
        <f>VLOOKUP(A108,Enrollment!A:A,1,FALSE)</f>
        <v>#N/A</v>
      </c>
      <c r="C108" t="str">
        <f>VLOOKUP(A108,Building!A:A,1,FALSE)</f>
        <v>GEOL. MATERIAL TEST</v>
      </c>
      <c r="D108" t="str">
        <f>VLOOKUP(A108,Distance!A:A,1,FALSE)</f>
        <v>GEOL. MATERIAL TEST</v>
      </c>
    </row>
    <row r="109" spans="1:4" x14ac:dyDescent="0.3">
      <c r="A109" t="s">
        <v>68</v>
      </c>
      <c r="B109" t="str">
        <f>VLOOKUP(A109,Enrollment!A:A,1,FALSE)</f>
        <v>ESKENAZI WOOD AND METAL SHOP</v>
      </c>
      <c r="C109" t="str">
        <f>VLOOKUP(A109,Building!A:A,1,FALSE)</f>
        <v>ESKENAZI WOOD AND METAL SHOP</v>
      </c>
      <c r="D109" t="str">
        <f>VLOOKUP(A109,Distance!A:A,1,FALSE)</f>
        <v>ESKENAZI WOOD AND METAL SHOP</v>
      </c>
    </row>
    <row r="110" spans="1:4" x14ac:dyDescent="0.3">
      <c r="A110" t="s">
        <v>170</v>
      </c>
      <c r="B110" t="str">
        <f>VLOOKUP(A110,Enrollment!A:A,1,FALSE)</f>
        <v>MARTIN HALL</v>
      </c>
      <c r="C110" t="str">
        <f>VLOOKUP(A110,Building!A:A,1,FALSE)</f>
        <v>MARTIN HALL</v>
      </c>
      <c r="D110" t="str">
        <f>VLOOKUP(A110,Distance!A:A,1,FALSE)</f>
        <v>MARTIN HALL</v>
      </c>
    </row>
    <row r="111" spans="1:4" x14ac:dyDescent="0.3">
      <c r="A111" t="s">
        <v>213</v>
      </c>
      <c r="B111" t="e">
        <f>VLOOKUP(A111,Enrollment!A:A,1,FALSE)</f>
        <v>#N/A</v>
      </c>
      <c r="C111" t="str">
        <f>VLOOKUP(A111,Building!A:A,1,FALSE)</f>
        <v>800 N INDIANA AVE</v>
      </c>
      <c r="D111" t="str">
        <f>VLOOKUP(A111,Distance!A:A,1,FALSE)</f>
        <v>800 N INDIANA AVE</v>
      </c>
    </row>
    <row r="112" spans="1:4" x14ac:dyDescent="0.3">
      <c r="A112" t="s">
        <v>420</v>
      </c>
      <c r="B112" t="e">
        <f>VLOOKUP(A112,Enrollment!A:A,1,FALSE)</f>
        <v>#N/A</v>
      </c>
      <c r="C112" t="str">
        <f>VLOOKUP(A112,Building!A:A,1,FALSE)</f>
        <v>BEHAVIOR LAB</v>
      </c>
      <c r="D112" t="str">
        <f>VLOOKUP(A112,Distance!A:A,1,FALSE)</f>
        <v>BEHAVIOR LAB</v>
      </c>
    </row>
    <row r="113" spans="1:4" x14ac:dyDescent="0.3">
      <c r="A113" t="s">
        <v>589</v>
      </c>
      <c r="B113" t="e">
        <f>VLOOKUP(A113,Enrollment!A:A,1,FALSE)</f>
        <v>#N/A</v>
      </c>
      <c r="C113" t="str">
        <f>VLOOKUP(A113,Building!A:A,1,FALSE)</f>
        <v>828 E COTTAGE GROVE</v>
      </c>
      <c r="D113" t="str">
        <f>VLOOKUP(A113,Distance!A:A,1,FALSE)</f>
        <v>828 E COTTAGE GROVE</v>
      </c>
    </row>
    <row r="114" spans="1:4" x14ac:dyDescent="0.3">
      <c r="A114" t="s">
        <v>434</v>
      </c>
      <c r="B114" t="e">
        <f>VLOOKUP(A114,Enrollment!A:A,1,FALSE)</f>
        <v>#N/A</v>
      </c>
      <c r="C114" t="str">
        <f>VLOOKUP(A114,Building!A:A,1,FALSE)</f>
        <v>SHEA HALL</v>
      </c>
      <c r="D114" t="str">
        <f>VLOOKUP(A114,Distance!A:A,1,FALSE)</f>
        <v>SHEA HALL</v>
      </c>
    </row>
    <row r="115" spans="1:4" x14ac:dyDescent="0.3">
      <c r="A115" t="s">
        <v>430</v>
      </c>
      <c r="B115" t="e">
        <f>VLOOKUP(A115,Enrollment!A:A,1,FALSE)</f>
        <v>#N/A</v>
      </c>
      <c r="C115" t="str">
        <f>VLOOKUP(A115,Building!A:A,1,FALSE)</f>
        <v>MCNUTT SOUTH</v>
      </c>
      <c r="D115" t="str">
        <f>VLOOKUP(A115,Distance!A:A,1,FALSE)</f>
        <v>MCNUTT SOUTH</v>
      </c>
    </row>
    <row r="116" spans="1:4" x14ac:dyDescent="0.3">
      <c r="A116" t="s">
        <v>410</v>
      </c>
      <c r="B116" t="e">
        <f>VLOOKUP(A116,Enrollment!A:A,1,FALSE)</f>
        <v>#N/A</v>
      </c>
      <c r="C116" t="str">
        <f>VLOOKUP(A116,Building!A:A,1,FALSE)</f>
        <v>919 E 13TH ST</v>
      </c>
      <c r="D116" t="str">
        <f>VLOOKUP(A116,Distance!A:A,1,FALSE)</f>
        <v>919 E 13TH ST</v>
      </c>
    </row>
    <row r="117" spans="1:4" x14ac:dyDescent="0.3">
      <c r="A117" t="s">
        <v>422</v>
      </c>
      <c r="B117" t="e">
        <f>VLOOKUP(A117,Enrollment!A:A,1,FALSE)</f>
        <v>#N/A</v>
      </c>
      <c r="C117" t="str">
        <f>VLOOKUP(A117,Building!A:A,1,FALSE)</f>
        <v>607 E 12TH ST</v>
      </c>
      <c r="D117" t="str">
        <f>VLOOKUP(A117,Distance!A:A,1,FALSE)</f>
        <v>607 E 12TH ST</v>
      </c>
    </row>
    <row r="118" spans="1:4" x14ac:dyDescent="0.3">
      <c r="A118" t="s">
        <v>211</v>
      </c>
      <c r="B118" t="e">
        <f>VLOOKUP(A118,Enrollment!A:A,1,FALSE)</f>
        <v>#N/A</v>
      </c>
      <c r="C118" t="str">
        <f>VLOOKUP(A118,Building!A:A,1,FALSE)</f>
        <v>716 N INDIANA AVE</v>
      </c>
      <c r="D118" t="str">
        <f>VLOOKUP(A118,Distance!A:A,1,FALSE)</f>
        <v>716 N INDIANA AVE</v>
      </c>
    </row>
    <row r="119" spans="1:4" x14ac:dyDescent="0.3">
      <c r="A119" t="s">
        <v>433</v>
      </c>
      <c r="B119" t="e">
        <f>VLOOKUP(A119,Enrollment!A:A,1,FALSE)</f>
        <v>#N/A</v>
      </c>
      <c r="C119" t="str">
        <f>VLOOKUP(A119,Building!A:A,1,FALSE)</f>
        <v>HARPER HALL</v>
      </c>
      <c r="D119" t="str">
        <f>VLOOKUP(A119,Distance!A:A,1,FALSE)</f>
        <v>HARPER HALL</v>
      </c>
    </row>
    <row r="120" spans="1:4" x14ac:dyDescent="0.3">
      <c r="A120" t="s">
        <v>93</v>
      </c>
      <c r="B120" t="str">
        <f>VLOOKUP(A120,Enrollment!A:A,1,FALSE)</f>
        <v>LUDDY CENTER FOR AI</v>
      </c>
      <c r="C120" t="str">
        <f>VLOOKUP(A120,Building!A:A,1,FALSE)</f>
        <v>LUDDY CENTER FOR AI</v>
      </c>
      <c r="D120" t="str">
        <f>VLOOKUP(A120,Distance!A:A,1,FALSE)</f>
        <v>LUDDY CENTER FOR AI</v>
      </c>
    </row>
    <row r="121" spans="1:4" x14ac:dyDescent="0.3">
      <c r="A121" t="s">
        <v>431</v>
      </c>
      <c r="B121" t="e">
        <f>VLOOKUP(A121,Enrollment!A:A,1,FALSE)</f>
        <v>#N/A</v>
      </c>
      <c r="C121" t="str">
        <f>VLOOKUP(A121,Building!A:A,1,FALSE)</f>
        <v>CENTRAL HEATING PLANT</v>
      </c>
      <c r="D121" t="str">
        <f>VLOOKUP(A121,Distance!A:A,1,FALSE)</f>
        <v>CENTRAL HEATING PLANT</v>
      </c>
    </row>
    <row r="122" spans="1:4" x14ac:dyDescent="0.3">
      <c r="A122" t="s">
        <v>212</v>
      </c>
      <c r="B122" t="e">
        <f>VLOOKUP(A122,Enrollment!A:A,1,FALSE)</f>
        <v>#N/A</v>
      </c>
      <c r="C122" t="str">
        <f>VLOOKUP(A122,Building!A:A,1,FALSE)</f>
        <v>718 N INDIANA AVE</v>
      </c>
      <c r="D122" t="str">
        <f>VLOOKUP(A122,Distance!A:A,1,FALSE)</f>
        <v>718 N INDIANA AVE</v>
      </c>
    </row>
    <row r="123" spans="1:4" x14ac:dyDescent="0.3">
      <c r="A123" t="s">
        <v>241</v>
      </c>
      <c r="B123" t="e">
        <f>VLOOKUP(A123,Enrollment!A:A,1,FALSE)</f>
        <v>#N/A</v>
      </c>
      <c r="C123" t="str">
        <f>VLOOKUP(A123,Building!A:A,1,FALSE)</f>
        <v>520 N INDIANA AVE</v>
      </c>
      <c r="D123" t="str">
        <f>VLOOKUP(A123,Distance!A:A,1,FALSE)</f>
        <v>520 N INDIANA AVE</v>
      </c>
    </row>
    <row r="124" spans="1:4" x14ac:dyDescent="0.3">
      <c r="A124" t="s">
        <v>438</v>
      </c>
      <c r="B124" t="e">
        <f>VLOOKUP(A124,Enrollment!A:A,1,FALSE)</f>
        <v>#N/A</v>
      </c>
      <c r="C124" t="str">
        <f>VLOOKUP(A124,Building!A:A,1,FALSE)</f>
        <v>WELLS HOUSE</v>
      </c>
      <c r="D124" t="str">
        <f>VLOOKUP(A124,Distance!A:A,1,FALSE)</f>
        <v>WELLS HOUSE</v>
      </c>
    </row>
    <row r="125" spans="1:4" x14ac:dyDescent="0.3">
      <c r="A125" t="s">
        <v>127</v>
      </c>
      <c r="B125" t="str">
        <f>VLOOKUP(A125,Enrollment!A:A,1,FALSE)</f>
        <v>STUDIO ARTS ANNEX</v>
      </c>
      <c r="C125" t="str">
        <f>VLOOKUP(A125,Building!A:A,1,FALSE)</f>
        <v>STUDIO ARTS ANNEX</v>
      </c>
      <c r="D125" t="str">
        <f>VLOOKUP(A125,Distance!A:A,1,FALSE)</f>
        <v>STUDIO ARTS ANNEX</v>
      </c>
    </row>
    <row r="126" spans="1:4" x14ac:dyDescent="0.3">
      <c r="A126" t="s">
        <v>401</v>
      </c>
      <c r="B126" t="e">
        <f>VLOOKUP(A126,Enrollment!A:A,1,FALSE)</f>
        <v>#N/A</v>
      </c>
      <c r="C126" t="str">
        <f>VLOOKUP(A126,Building!A:A,1,FALSE)</f>
        <v>823 E 11TH ST HOUSE</v>
      </c>
      <c r="D126" t="str">
        <f>VLOOKUP(A126,Distance!A:A,1,FALSE)</f>
        <v>823 E 11TH ST HOUSE</v>
      </c>
    </row>
    <row r="127" spans="1:4" x14ac:dyDescent="0.3">
      <c r="A127" t="s">
        <v>73</v>
      </c>
      <c r="B127" t="str">
        <f>VLOOKUP(A127,Enrollment!A:A,1,FALSE)</f>
        <v>GRESHAM DINING HALL</v>
      </c>
      <c r="C127" t="str">
        <f>VLOOKUP(A127,Building!A:A,1,FALSE)</f>
        <v>GRESHAM DINING HALL</v>
      </c>
      <c r="D127" t="str">
        <f>VLOOKUP(A127,Distance!A:A,1,FALSE)</f>
        <v>GRESHAM DINING HALL</v>
      </c>
    </row>
    <row r="128" spans="1:4" x14ac:dyDescent="0.3">
      <c r="A128" t="s">
        <v>411</v>
      </c>
      <c r="B128" t="e">
        <f>VLOOKUP(A128,Enrollment!A:A,1,FALSE)</f>
        <v>#N/A</v>
      </c>
      <c r="C128" t="str">
        <f>VLOOKUP(A128,Building!A:A,1,FALSE)</f>
        <v>710 N FESS AVE</v>
      </c>
      <c r="D128" t="str">
        <f>VLOOKUP(A128,Distance!A:A,1,FALSE)</f>
        <v>710 N FESS AVE</v>
      </c>
    </row>
    <row r="129" spans="1:4" x14ac:dyDescent="0.3">
      <c r="A129" t="s">
        <v>105</v>
      </c>
      <c r="B129" t="str">
        <f>VLOOKUP(A129,Enrollment!A:A,1,FALSE)</f>
        <v>MYLES BRAND HALL</v>
      </c>
      <c r="C129" t="str">
        <f>VLOOKUP(A129,Building!A:A,1,FALSE)</f>
        <v>MYLES BRAND HALL</v>
      </c>
      <c r="D129" t="str">
        <f>VLOOKUP(A129,Distance!A:A,1,FALSE)</f>
        <v>MYLES BRAND HALL</v>
      </c>
    </row>
    <row r="130" spans="1:4" x14ac:dyDescent="0.3">
      <c r="A130" t="s">
        <v>423</v>
      </c>
      <c r="B130" t="e">
        <f>VLOOKUP(A130,Enrollment!A:A,1,FALSE)</f>
        <v>#N/A</v>
      </c>
      <c r="C130" t="str">
        <f>VLOOKUP(A130,Building!A:A,1,FALSE)</f>
        <v>608 E 12TH ST</v>
      </c>
      <c r="D130" t="str">
        <f>VLOOKUP(A130,Distance!A:A,1,FALSE)</f>
        <v>608 E 12TH ST</v>
      </c>
    </row>
    <row r="131" spans="1:4" x14ac:dyDescent="0.3">
      <c r="A131" t="s">
        <v>374</v>
      </c>
      <c r="B131" t="e">
        <f>VLOOKUP(A131,Enrollment!A:A,1,FALSE)</f>
        <v>#N/A</v>
      </c>
      <c r="C131" t="str">
        <f>VLOOKUP(A131,Building!A:A,1,FALSE)</f>
        <v>611 N WOODLAWN AVE</v>
      </c>
      <c r="D131" t="str">
        <f>VLOOKUP(A131,Distance!A:A,1,FALSE)</f>
        <v>611 N WOODLAWN AVE</v>
      </c>
    </row>
    <row r="132" spans="1:4" x14ac:dyDescent="0.3">
      <c r="A132" t="s">
        <v>490</v>
      </c>
      <c r="B132" t="e">
        <f>VLOOKUP(A132,Enrollment!A:A,1,FALSE)</f>
        <v>#N/A</v>
      </c>
      <c r="C132" t="str">
        <f>VLOOKUP(A132,Building!A:A,1,FALSE)</f>
        <v>SEMBOWER CONCESSION</v>
      </c>
      <c r="D132" t="str">
        <f>VLOOKUP(A132,Distance!A:A,1,FALSE)</f>
        <v>SEMBOWER CONCESSION</v>
      </c>
    </row>
    <row r="133" spans="1:4" x14ac:dyDescent="0.3">
      <c r="A133" t="s">
        <v>402</v>
      </c>
      <c r="B133" t="e">
        <f>VLOOKUP(A133,Enrollment!A:A,1,FALSE)</f>
        <v>#N/A</v>
      </c>
      <c r="C133" t="str">
        <f>VLOOKUP(A133,Building!A:A,1,FALSE)</f>
        <v>823 E 11TH ST GARAGE</v>
      </c>
      <c r="D133" t="str">
        <f>VLOOKUP(A133,Distance!A:A,1,FALSE)</f>
        <v>823 E 11TH ST GARAGE</v>
      </c>
    </row>
    <row r="134" spans="1:4" x14ac:dyDescent="0.3">
      <c r="A134" t="s">
        <v>11</v>
      </c>
      <c r="B134" t="str">
        <f>VLOOKUP(A134,Enrollment!A:A,1,FALSE)</f>
        <v>PSYCHOLOGY</v>
      </c>
      <c r="C134" t="str">
        <f>VLOOKUP(A134,Building!A:A,1,FALSE)</f>
        <v>PSYCHOLOGY</v>
      </c>
      <c r="D134" t="str">
        <f>VLOOKUP(A134,Distance!A:A,1,FALSE)</f>
        <v>PSYCHOLOGY</v>
      </c>
    </row>
    <row r="135" spans="1:4" x14ac:dyDescent="0.3">
      <c r="A135" t="s">
        <v>380</v>
      </c>
      <c r="B135" t="e">
        <f>VLOOKUP(A135,Enrollment!A:A,1,FALSE)</f>
        <v>#N/A</v>
      </c>
      <c r="C135" t="str">
        <f>VLOOKUP(A135,Building!A:A,1,FALSE)</f>
        <v>821 E 10TH ST</v>
      </c>
      <c r="D135" t="str">
        <f>VLOOKUP(A135,Distance!A:A,1,FALSE)</f>
        <v>821 E 10TH ST</v>
      </c>
    </row>
    <row r="136" spans="1:4" x14ac:dyDescent="0.3">
      <c r="A136" t="s">
        <v>439</v>
      </c>
      <c r="B136" t="e">
        <f>VLOOKUP(A136,Enrollment!A:A,1,FALSE)</f>
        <v>#N/A</v>
      </c>
      <c r="C136" t="str">
        <f>VLOOKUP(A136,Building!A:A,1,FALSE)</f>
        <v>1319 E 10TH ST</v>
      </c>
      <c r="D136" t="str">
        <f>VLOOKUP(A136,Distance!A:A,1,FALSE)</f>
        <v>1319 E 10TH ST</v>
      </c>
    </row>
    <row r="137" spans="1:4" x14ac:dyDescent="0.3">
      <c r="A137" t="s">
        <v>417</v>
      </c>
      <c r="B137" t="e">
        <f>VLOOKUP(A137,Enrollment!A:A,1,FALSE)</f>
        <v>#N/A</v>
      </c>
      <c r="C137" t="str">
        <f>VLOOKUP(A137,Building!A:A,1,FALSE)</f>
        <v>CHILLED WATER PLANT</v>
      </c>
      <c r="D137" t="str">
        <f>VLOOKUP(A137,Distance!A:A,1,FALSE)</f>
        <v>CHILLED WATER PLANT</v>
      </c>
    </row>
    <row r="138" spans="1:4" x14ac:dyDescent="0.3">
      <c r="A138" t="s">
        <v>261</v>
      </c>
      <c r="B138" t="e">
        <f>VLOOKUP(A138,Enrollment!A:A,1,FALSE)</f>
        <v>#N/A</v>
      </c>
      <c r="C138" t="str">
        <f>VLOOKUP(A138,Building!A:A,1,FALSE)</f>
        <v>528 N INDIANA AVE</v>
      </c>
      <c r="D138" t="str">
        <f>VLOOKUP(A138,Distance!A:A,1,FALSE)</f>
        <v>528 N INDIANA AVE</v>
      </c>
    </row>
    <row r="139" spans="1:4" x14ac:dyDescent="0.3">
      <c r="A139" t="s">
        <v>429</v>
      </c>
      <c r="B139" t="e">
        <f>VLOOKUP(A139,Enrollment!A:A,1,FALSE)</f>
        <v>#N/A</v>
      </c>
      <c r="C139" t="str">
        <f>VLOOKUP(A139,Building!A:A,1,FALSE)</f>
        <v>CHESTNUT C &amp; D</v>
      </c>
      <c r="D139" t="str">
        <f>VLOOKUP(A139,Distance!A:A,1,FALSE)</f>
        <v>CHESTNUT C &amp; D</v>
      </c>
    </row>
    <row r="140" spans="1:4" x14ac:dyDescent="0.3">
      <c r="A140" t="s">
        <v>157</v>
      </c>
      <c r="B140" t="str">
        <f>VLOOKUP(A140,Enrollment!A:A,1,FALSE)</f>
        <v>HILLCREST</v>
      </c>
      <c r="C140" t="str">
        <f>VLOOKUP(A140,Building!A:A,1,FALSE)</f>
        <v>HILLCREST</v>
      </c>
      <c r="D140" t="str">
        <f>VLOOKUP(A140,Distance!A:A,1,FALSE)</f>
        <v>HILLCREST</v>
      </c>
    </row>
    <row r="141" spans="1:4" x14ac:dyDescent="0.3">
      <c r="A141" t="s">
        <v>72</v>
      </c>
      <c r="B141" t="str">
        <f>VLOOKUP(A141,Enrollment!A:A,1,FALSE)</f>
        <v>GEOLOGICAL SCIENCES</v>
      </c>
      <c r="C141" t="str">
        <f>VLOOKUP(A141,Building!A:A,1,FALSE)</f>
        <v>GEOLOGICAL SCIENCES</v>
      </c>
      <c r="D141" t="str">
        <f>VLOOKUP(A141,Distance!A:A,1,FALSE)</f>
        <v>GEOLOGICAL SCIENCES</v>
      </c>
    </row>
    <row r="142" spans="1:4" x14ac:dyDescent="0.3">
      <c r="A142" t="s">
        <v>28</v>
      </c>
      <c r="B142" t="str">
        <f>VLOOKUP(A142,Enrollment!A:A,1,FALSE)</f>
        <v>GODFREY GRAD&amp;EXEC ED CTR</v>
      </c>
      <c r="C142" t="str">
        <f>VLOOKUP(A142,Building!A:A,1,FALSE)</f>
        <v>GODFREY GRAD&amp;EXEC ED CTR</v>
      </c>
      <c r="D142" t="str">
        <f>VLOOKUP(A142,Distance!A:A,1,FALSE)</f>
        <v>GODFREY GRAD&amp;EXEC ED CTR</v>
      </c>
    </row>
    <row r="143" spans="1:4" x14ac:dyDescent="0.3">
      <c r="A143" t="s">
        <v>209</v>
      </c>
      <c r="B143" t="e">
        <f>VLOOKUP(A143,Enrollment!A:A,1,FALSE)</f>
        <v>#N/A</v>
      </c>
      <c r="C143" t="str">
        <f>VLOOKUP(A143,Building!A:A,1,FALSE)</f>
        <v>722 N INDIANA AVE</v>
      </c>
      <c r="D143" t="str">
        <f>VLOOKUP(A143,Distance!A:A,1,FALSE)</f>
        <v>722 N INDIANA AVE</v>
      </c>
    </row>
    <row r="144" spans="1:4" x14ac:dyDescent="0.3">
      <c r="A144" t="s">
        <v>384</v>
      </c>
      <c r="B144" t="e">
        <f>VLOOKUP(A144,Enrollment!A:A,1,FALSE)</f>
        <v>#N/A</v>
      </c>
      <c r="C144" t="str">
        <f>VLOOKUP(A144,Building!A:A,1,FALSE)</f>
        <v>603 E 12TH ST GARAGE</v>
      </c>
      <c r="D144" t="str">
        <f>VLOOKUP(A144,Distance!A:A,1,FALSE)</f>
        <v>603 E 12TH ST GARAGE</v>
      </c>
    </row>
    <row r="145" spans="1:4" x14ac:dyDescent="0.3">
      <c r="A145" t="s">
        <v>428</v>
      </c>
      <c r="B145" t="e">
        <f>VLOOKUP(A145,Enrollment!A:A,1,FALSE)</f>
        <v>#N/A</v>
      </c>
      <c r="C145" t="str">
        <f>VLOOKUP(A145,Building!A:A,1,FALSE)</f>
        <v>MCNUTT NORTH</v>
      </c>
      <c r="D145" t="str">
        <f>VLOOKUP(A145,Distance!A:A,1,FALSE)</f>
        <v>MCNUTT NORTH</v>
      </c>
    </row>
    <row r="146" spans="1:4" x14ac:dyDescent="0.3">
      <c r="A146" t="s">
        <v>590</v>
      </c>
      <c r="B146" t="e">
        <f>VLOOKUP(A146,Enrollment!A:A,1,FALSE)</f>
        <v>#N/A</v>
      </c>
      <c r="C146" t="str">
        <f>VLOOKUP(A146,Building!A:A,1,FALSE)</f>
        <v>829 E COTTAGE GROVE</v>
      </c>
      <c r="D146" t="str">
        <f>VLOOKUP(A146,Distance!A:A,1,FALSE)</f>
        <v>829 E COTTAGE GROVE</v>
      </c>
    </row>
    <row r="147" spans="1:4" x14ac:dyDescent="0.3">
      <c r="A147" t="s">
        <v>288</v>
      </c>
      <c r="B147" t="e">
        <f>VLOOKUP(A147,Enrollment!A:A,1,FALSE)</f>
        <v>#N/A</v>
      </c>
      <c r="C147" t="str">
        <f>VLOOKUP(A147,Building!A:A,1,FALSE)</f>
        <v>ARBORETUM</v>
      </c>
      <c r="D147" t="str">
        <f>VLOOKUP(A147,Distance!A:A,1,FALSE)</f>
        <v>ARBORETUM</v>
      </c>
    </row>
    <row r="148" spans="1:4" x14ac:dyDescent="0.3">
      <c r="A148" t="s">
        <v>6</v>
      </c>
      <c r="B148" t="str">
        <f>VLOOKUP(A148,Enrollment!A:A,1,FALSE)</f>
        <v>HODGE HALL (BUSINESS SCHOOL)</v>
      </c>
      <c r="C148" t="str">
        <f>VLOOKUP(A148,Building!A:A,1,FALSE)</f>
        <v>HODGE HALL (BUSINESS SCHOOL)</v>
      </c>
      <c r="D148" t="str">
        <f>VLOOKUP(A148,Distance!A:A,1,FALSE)</f>
        <v>HODGE HALL (BUSINESS SCHOOL)</v>
      </c>
    </row>
    <row r="149" spans="1:4" x14ac:dyDescent="0.3">
      <c r="A149" t="s">
        <v>14</v>
      </c>
      <c r="B149" t="str">
        <f>VLOOKUP(A149,Enrollment!A:A,1,FALSE)</f>
        <v>SPEA</v>
      </c>
      <c r="C149" t="str">
        <f>VLOOKUP(A149,Building!A:A,1,FALSE)</f>
        <v>SPEA</v>
      </c>
      <c r="D149" t="str">
        <f>VLOOKUP(A149,Distance!A:A,1,FALSE)</f>
        <v>SPEA</v>
      </c>
    </row>
    <row r="150" spans="1:4" x14ac:dyDescent="0.3">
      <c r="A150" t="s">
        <v>427</v>
      </c>
      <c r="B150" t="e">
        <f>VLOOKUP(A150,Enrollment!A:A,1,FALSE)</f>
        <v>#N/A</v>
      </c>
      <c r="C150" t="str">
        <f>VLOOKUP(A150,Building!A:A,1,FALSE)</f>
        <v>PERSIMMON A &amp; B</v>
      </c>
      <c r="D150" t="str">
        <f>VLOOKUP(A150,Distance!A:A,1,FALSE)</f>
        <v>PERSIMMON A &amp; B</v>
      </c>
    </row>
    <row r="151" spans="1:4" x14ac:dyDescent="0.3">
      <c r="A151" t="s">
        <v>491</v>
      </c>
      <c r="B151" t="e">
        <f>VLOOKUP(A151,Enrollment!A:A,1,FALSE)</f>
        <v>#N/A</v>
      </c>
      <c r="C151" t="str">
        <f>VLOOKUP(A151,Building!A:A,1,FALSE)</f>
        <v>SEMBOWER E PRESSBOX</v>
      </c>
      <c r="D151" t="str">
        <f>VLOOKUP(A151,Distance!A:A,1,FALSE)</f>
        <v>SEMBOWER E PRESSBOX</v>
      </c>
    </row>
    <row r="152" spans="1:4" x14ac:dyDescent="0.3">
      <c r="A152" t="s">
        <v>432</v>
      </c>
      <c r="B152" t="e">
        <f>VLOOKUP(A152,Enrollment!A:A,1,FALSE)</f>
        <v>#N/A</v>
      </c>
      <c r="C152" t="str">
        <f>VLOOKUP(A152,Building!A:A,1,FALSE)</f>
        <v>FEE LANE PKG GARAGE</v>
      </c>
      <c r="D152" t="str">
        <f>VLOOKUP(A152,Distance!A:A,1,FALSE)</f>
        <v>FEE LANE PKG GARAGE</v>
      </c>
    </row>
    <row r="153" spans="1:4" x14ac:dyDescent="0.3">
      <c r="A153" t="s">
        <v>419</v>
      </c>
      <c r="B153" t="e">
        <f>VLOOKUP(A153,Enrollment!A:A,1,FALSE)</f>
        <v>#N/A</v>
      </c>
      <c r="C153" t="str">
        <f>VLOOKUP(A153,Building!A:A,1,FALSE)</f>
        <v>ANECHOIC LAB</v>
      </c>
      <c r="D153" t="str">
        <f>VLOOKUP(A153,Distance!A:A,1,FALSE)</f>
        <v>ANECHOIC LAB</v>
      </c>
    </row>
    <row r="154" spans="1:4" x14ac:dyDescent="0.3">
      <c r="A154" t="s">
        <v>245</v>
      </c>
      <c r="B154" t="e">
        <f>VLOOKUP(A154,Enrollment!A:A,1,FALSE)</f>
        <v>#N/A</v>
      </c>
      <c r="C154" t="str">
        <f>VLOOKUP(A154,Building!A:A,1,FALSE)</f>
        <v>KNEE-HIGH DAYCARE</v>
      </c>
      <c r="D154" t="str">
        <f>VLOOKUP(A154,Distance!A:A,1,FALSE)</f>
        <v>KNEE-HIGH DAYCARE</v>
      </c>
    </row>
    <row r="155" spans="1:4" x14ac:dyDescent="0.3">
      <c r="A155" t="s">
        <v>583</v>
      </c>
      <c r="B155" t="e">
        <f>VLOOKUP(A155,Enrollment!A:A,1,FALSE)</f>
        <v>#N/A</v>
      </c>
      <c r="C155" t="str">
        <f>VLOOKUP(A155,Building!A:A,1,FALSE)</f>
        <v>FIRE DEPARTMENT</v>
      </c>
      <c r="D155" t="str">
        <f>VLOOKUP(A155,Distance!A:A,1,FALSE)</f>
        <v>FIRE DEPARTMENT</v>
      </c>
    </row>
    <row r="156" spans="1:4" x14ac:dyDescent="0.3">
      <c r="A156" t="s">
        <v>256</v>
      </c>
      <c r="B156" t="e">
        <f>VLOOKUP(A156,Enrollment!A:A,1,FALSE)</f>
        <v>#N/A</v>
      </c>
      <c r="C156" t="str">
        <f>VLOOKUP(A156,Building!A:A,1,FALSE)</f>
        <v>710 E COTTAGE GROVE</v>
      </c>
      <c r="D156" t="str">
        <f>VLOOKUP(A156,Distance!A:A,1,FALSE)</f>
        <v>710 E COTTAGE GROVE</v>
      </c>
    </row>
    <row r="157" spans="1:4" x14ac:dyDescent="0.3">
      <c r="A157" t="s">
        <v>492</v>
      </c>
      <c r="B157" t="e">
        <f>VLOOKUP(A157,Enrollment!A:A,1,FALSE)</f>
        <v>#N/A</v>
      </c>
      <c r="C157" t="str">
        <f>VLOOKUP(A157,Building!A:A,1,FALSE)</f>
        <v>SEMBOWER W PRESSBOX</v>
      </c>
      <c r="D157" t="str">
        <f>VLOOKUP(A157,Distance!A:A,1,FALSE)</f>
        <v>SEMBOWER W PRESSBOX</v>
      </c>
    </row>
    <row r="158" spans="1:4" x14ac:dyDescent="0.3">
      <c r="A158" t="s">
        <v>171</v>
      </c>
      <c r="B158" t="str">
        <f>VLOOKUP(A158,Enrollment!A:A,1,FALSE)</f>
        <v>MULTI SCIENCE 2</v>
      </c>
      <c r="C158" t="str">
        <f>VLOOKUP(A158,Building!A:A,1,FALSE)</f>
        <v>MULTI SCIENCE 2</v>
      </c>
      <c r="D158" t="str">
        <f>VLOOKUP(A158,Distance!A:A,1,FALSE)</f>
        <v>MULTI SCIENCE 2</v>
      </c>
    </row>
    <row r="159" spans="1:4" x14ac:dyDescent="0.3">
      <c r="A159" t="s">
        <v>389</v>
      </c>
      <c r="B159" t="e">
        <f>VLOOKUP(A159,Enrollment!A:A,1,FALSE)</f>
        <v>#N/A</v>
      </c>
      <c r="C159" t="str">
        <f>VLOOKUP(A159,Building!A:A,1,FALSE)</f>
        <v>RESEARCH SVC. BLDG.</v>
      </c>
      <c r="D159" t="str">
        <f>VLOOKUP(A159,Distance!A:A,1,FALSE)</f>
        <v>RESEARCH SVC. BLDG.</v>
      </c>
    </row>
    <row r="160" spans="1:4" x14ac:dyDescent="0.3">
      <c r="A160" t="s">
        <v>436</v>
      </c>
      <c r="B160" t="e">
        <f>VLOOKUP(A160,Enrollment!A:A,1,FALSE)</f>
        <v>#N/A</v>
      </c>
      <c r="C160" t="str">
        <f>VLOOKUP(A160,Building!A:A,1,FALSE)</f>
        <v>JENKINSON HALL</v>
      </c>
      <c r="D160" t="str">
        <f>VLOOKUP(A160,Distance!A:A,1,FALSE)</f>
        <v>JENKINSON HALL</v>
      </c>
    </row>
    <row r="161" spans="1:4" x14ac:dyDescent="0.3">
      <c r="A161" t="s">
        <v>147</v>
      </c>
      <c r="B161" t="str">
        <f>VLOOKUP(A161,Enrollment!A:A,1,FALSE)</f>
        <v>HARLOS HOUSE</v>
      </c>
      <c r="C161" t="str">
        <f>VLOOKUP(A161,Building!A:A,1,FALSE)</f>
        <v>HARLOS HOUSE</v>
      </c>
      <c r="D161" t="str">
        <f>VLOOKUP(A161,Distance!A:A,1,FALSE)</f>
        <v>HARLOS HOUSE</v>
      </c>
    </row>
    <row r="162" spans="1:4" x14ac:dyDescent="0.3">
      <c r="A162" t="s">
        <v>415</v>
      </c>
      <c r="B162" t="e">
        <f>VLOOKUP(A162,Enrollment!A:A,1,FALSE)</f>
        <v>#N/A</v>
      </c>
      <c r="C162" t="str">
        <f>VLOOKUP(A162,Building!A:A,1,FALSE)</f>
        <v>908 E 14TH ST: HOUSE</v>
      </c>
      <c r="D162" t="str">
        <f>VLOOKUP(A162,Distance!A:A,1,FALSE)</f>
        <v>908 E 14TH ST: HOUSE</v>
      </c>
    </row>
    <row r="163" spans="1:4" x14ac:dyDescent="0.3">
      <c r="A163" t="s">
        <v>474</v>
      </c>
      <c r="B163" t="e">
        <f>VLOOKUP(A163,Enrollment!A:A,1,FALSE)</f>
        <v>#N/A</v>
      </c>
      <c r="C163" t="str">
        <f>VLOOKUP(A163,Building!A:A,1,FALSE)</f>
        <v>MARCHING HUNDRED HALL (RAY E CRAMER)</v>
      </c>
      <c r="D163" t="str">
        <f>VLOOKUP(A163,Distance!A:A,1,FALSE)</f>
        <v>MARCHING HUNDRED HALL (RAY E CRAMER)</v>
      </c>
    </row>
    <row r="164" spans="1:4" x14ac:dyDescent="0.3">
      <c r="A164" t="s">
        <v>388</v>
      </c>
      <c r="B164" t="e">
        <f>VLOOKUP(A164,Enrollment!A:A,1,FALSE)</f>
        <v>#N/A</v>
      </c>
      <c r="C164" t="str">
        <f>VLOOKUP(A164,Building!A:A,1,FALSE)</f>
        <v>623 E 13TH ST</v>
      </c>
      <c r="D164" t="str">
        <f>VLOOKUP(A164,Distance!A:A,1,FALSE)</f>
        <v>623 E 13TH ST</v>
      </c>
    </row>
    <row r="165" spans="1:4" x14ac:dyDescent="0.3">
      <c r="A165" t="s">
        <v>246</v>
      </c>
      <c r="B165" t="e">
        <f>VLOOKUP(A165,Enrollment!A:A,1,FALSE)</f>
        <v>#N/A</v>
      </c>
      <c r="C165" t="str">
        <f>VLOOKUP(A165,Building!A:A,1,FALSE)</f>
        <v>516 N INDIANA AVE</v>
      </c>
      <c r="D165" t="str">
        <f>VLOOKUP(A165,Distance!A:A,1,FALSE)</f>
        <v>516 N INDIANA AVE</v>
      </c>
    </row>
    <row r="166" spans="1:4" x14ac:dyDescent="0.3">
      <c r="A166" t="s">
        <v>421</v>
      </c>
      <c r="B166" t="e">
        <f>VLOOKUP(A166,Enrollment!A:A,1,FALSE)</f>
        <v>#N/A</v>
      </c>
      <c r="C166" t="str">
        <f>VLOOKUP(A166,Building!A:A,1,FALSE)</f>
        <v>N WOODLAWN CHILLER PLANT</v>
      </c>
      <c r="D166" t="str">
        <f>VLOOKUP(A166,Distance!A:A,1,FALSE)</f>
        <v>N WOODLAWN CHILLER PLANT</v>
      </c>
    </row>
    <row r="167" spans="1:4" x14ac:dyDescent="0.3">
      <c r="A167" t="s">
        <v>426</v>
      </c>
      <c r="B167" t="e">
        <f>VLOOKUP(A167,Enrollment!A:A,1,FALSE)</f>
        <v>#N/A</v>
      </c>
      <c r="C167" t="str">
        <f>VLOOKUP(A167,Building!A:A,1,FALSE)</f>
        <v>880 N WALNUT GROVE</v>
      </c>
      <c r="D167" t="str">
        <f>VLOOKUP(A167,Distance!A:A,1,FALSE)</f>
        <v>880 N WALNUT GROVE</v>
      </c>
    </row>
    <row r="168" spans="1:4" x14ac:dyDescent="0.3">
      <c r="A168" t="s">
        <v>418</v>
      </c>
      <c r="B168" t="e">
        <f>VLOOKUP(A168,Enrollment!A:A,1,FALSE)</f>
        <v>#N/A</v>
      </c>
      <c r="C168" t="str">
        <f>VLOOKUP(A168,Building!A:A,1,FALSE)</f>
        <v>ECHO CHAMBER</v>
      </c>
      <c r="D168" t="str">
        <f>VLOOKUP(A168,Distance!A:A,1,FALSE)</f>
        <v>ECHO CHAMBER</v>
      </c>
    </row>
    <row r="169" spans="1:4" x14ac:dyDescent="0.3">
      <c r="A169" t="s">
        <v>4</v>
      </c>
      <c r="B169" t="str">
        <f>VLOOKUP(A169,Enrollment!A:A,1,FALSE)</f>
        <v>GLOBAL &amp; INTL STUDIES BLDG</v>
      </c>
      <c r="C169" t="str">
        <f>VLOOKUP(A169,Building!A:A,1,FALSE)</f>
        <v>GLOBAL &amp; INTL STUDIES BLDG</v>
      </c>
      <c r="D169" t="str">
        <f>VLOOKUP(A169,Distance!A:A,1,FALSE)</f>
        <v>GLOBAL &amp; INTL STUDIES BLDG</v>
      </c>
    </row>
    <row r="170" spans="1:4" x14ac:dyDescent="0.3">
      <c r="A170" t="s">
        <v>280</v>
      </c>
      <c r="B170" t="e">
        <f>VLOOKUP(A170,Enrollment!A:A,1,FALSE)</f>
        <v>#N/A</v>
      </c>
      <c r="C170" t="str">
        <f>VLOOKUP(A170,Building!A:A,1,FALSE)</f>
        <v>8TH ST HUT (HPER)</v>
      </c>
      <c r="D170" t="str">
        <f>VLOOKUP(A170,Distance!A:A,1,FALSE)</f>
        <v>8TH ST HUT (HPER)</v>
      </c>
    </row>
    <row r="171" spans="1:4" x14ac:dyDescent="0.3">
      <c r="A171" t="s">
        <v>180</v>
      </c>
      <c r="B171" t="str">
        <f>VLOOKUP(A171,Enrollment!A:A,1,FALSE)</f>
        <v>IU CINEMA</v>
      </c>
      <c r="C171" t="str">
        <f>VLOOKUP(A171,Building!A:A,1,FALSE)</f>
        <v>IU CINEMA</v>
      </c>
      <c r="D171" t="str">
        <f>VLOOKUP(A171,Distance!A:A,1,FALSE)</f>
        <v>IU CINEMA</v>
      </c>
    </row>
    <row r="172" spans="1:4" x14ac:dyDescent="0.3">
      <c r="A172" t="s">
        <v>391</v>
      </c>
      <c r="B172" t="e">
        <f>VLOOKUP(A172,Enrollment!A:A,1,FALSE)</f>
        <v>#N/A</v>
      </c>
      <c r="C172" t="str">
        <f>VLOOKUP(A172,Building!A:A,1,FALSE)</f>
        <v>321 N WOODLAWN AVE</v>
      </c>
      <c r="D172" t="str">
        <f>VLOOKUP(A172,Distance!A:A,1,FALSE)</f>
        <v>321 N WOODLAWN AVE</v>
      </c>
    </row>
    <row r="173" spans="1:4" x14ac:dyDescent="0.3">
      <c r="A173" t="s">
        <v>540</v>
      </c>
      <c r="B173" t="e">
        <f>VLOOKUP(A173,Enrollment!A:A,1,FALSE)</f>
        <v>#N/A</v>
      </c>
      <c r="C173" t="str">
        <f>VLOOKUP(A173,Building!A:A,1,FALSE)</f>
        <v>MONROE CO GOVT CENTER-SHOWERS</v>
      </c>
      <c r="D173" t="str">
        <f>VLOOKUP(A173,Distance!A:A,1,FALSE)</f>
        <v>MONROE CO GOVT CENTER-SHOWERS</v>
      </c>
    </row>
    <row r="174" spans="1:4" x14ac:dyDescent="0.3">
      <c r="A174" t="s">
        <v>204</v>
      </c>
      <c r="B174" t="e">
        <f>VLOOKUP(A174,Enrollment!A:A,1,FALSE)</f>
        <v>#N/A</v>
      </c>
      <c r="C174" t="str">
        <f>VLOOKUP(A174,Building!A:A,1,FALSE)</f>
        <v>AMERICAN INDIAN STUDIES</v>
      </c>
      <c r="D174" t="str">
        <f>VLOOKUP(A174,Distance!A:A,1,FALSE)</f>
        <v>AMERICAN INDIAN STUDIES</v>
      </c>
    </row>
    <row r="175" spans="1:4" x14ac:dyDescent="0.3">
      <c r="A175" t="s">
        <v>242</v>
      </c>
      <c r="B175" t="e">
        <f>VLOOKUP(A175,Enrollment!A:A,1,FALSE)</f>
        <v>#N/A</v>
      </c>
      <c r="C175" t="str">
        <f>VLOOKUP(A175,Building!A:A,1,FALSE)</f>
        <v>515 N PARK AVE</v>
      </c>
      <c r="D175" t="str">
        <f>VLOOKUP(A175,Distance!A:A,1,FALSE)</f>
        <v>515 N PARK AVE</v>
      </c>
    </row>
    <row r="176" spans="1:4" x14ac:dyDescent="0.3">
      <c r="A176" t="s">
        <v>158</v>
      </c>
      <c r="B176" t="str">
        <f>VLOOKUP(A176,Enrollment!A:A,1,FALSE)</f>
        <v>MCCALLA</v>
      </c>
      <c r="C176" t="str">
        <f>VLOOKUP(A176,Building!A:A,1,FALSE)</f>
        <v>MCCALLA</v>
      </c>
      <c r="D176" t="str">
        <f>VLOOKUP(A176,Distance!A:A,1,FALSE)</f>
        <v>MCCALLA</v>
      </c>
    </row>
    <row r="177" spans="1:4" x14ac:dyDescent="0.3">
      <c r="A177" t="s">
        <v>234</v>
      </c>
      <c r="B177" t="e">
        <f>VLOOKUP(A177,Enrollment!A:A,1,FALSE)</f>
        <v>#N/A</v>
      </c>
      <c r="C177" t="str">
        <f>VLOOKUP(A177,Building!A:A,1,FALSE)</f>
        <v>405-407 N PARK AVE</v>
      </c>
      <c r="D177" t="str">
        <f>VLOOKUP(A177,Distance!A:A,1,FALSE)</f>
        <v>405-407 N PARK AVE</v>
      </c>
    </row>
    <row r="178" spans="1:4" x14ac:dyDescent="0.3">
      <c r="A178" t="s">
        <v>198</v>
      </c>
      <c r="B178" t="e">
        <f>VLOOKUP(A178,Enrollment!A:A,1,FALSE)</f>
        <v>#N/A</v>
      </c>
      <c r="C178" t="str">
        <f>VLOOKUP(A178,Building!A:A,1,FALSE)</f>
        <v>502 E 9TH ST</v>
      </c>
      <c r="D178" t="str">
        <f>VLOOKUP(A178,Distance!A:A,1,FALSE)</f>
        <v>502 E 9TH ST</v>
      </c>
    </row>
    <row r="179" spans="1:4" x14ac:dyDescent="0.3">
      <c r="A179" t="s">
        <v>199</v>
      </c>
      <c r="B179" t="e">
        <f>VLOOKUP(A179,Enrollment!A:A,1,FALSE)</f>
        <v>#N/A</v>
      </c>
      <c r="C179" t="str">
        <f>VLOOKUP(A179,Building!A:A,1,FALSE)</f>
        <v>419 N INDIANA AVE</v>
      </c>
      <c r="D179" t="str">
        <f>VLOOKUP(A179,Distance!A:A,1,FALSE)</f>
        <v>419 N INDIANA AVE</v>
      </c>
    </row>
    <row r="180" spans="1:4" x14ac:dyDescent="0.3">
      <c r="A180" t="s">
        <v>232</v>
      </c>
      <c r="B180" t="e">
        <f>VLOOKUP(A180,Enrollment!A:A,1,FALSE)</f>
        <v>#N/A</v>
      </c>
      <c r="C180" t="str">
        <f>VLOOKUP(A180,Building!A:A,1,FALSE)</f>
        <v>712 E 8TH ST</v>
      </c>
      <c r="D180" t="str">
        <f>VLOOKUP(A180,Distance!A:A,1,FALSE)</f>
        <v>712 E 8TH ST</v>
      </c>
    </row>
    <row r="181" spans="1:4" x14ac:dyDescent="0.3">
      <c r="A181" t="s">
        <v>274</v>
      </c>
      <c r="B181" t="e">
        <f>VLOOKUP(A181,Enrollment!A:A,1,FALSE)</f>
        <v>#N/A</v>
      </c>
      <c r="C181" t="str">
        <f>VLOOKUP(A181,Building!A:A,1,FALSE)</f>
        <v>HARRIS HOUSE</v>
      </c>
      <c r="D181" t="str">
        <f>VLOOKUP(A181,Distance!A:A,1,FALSE)</f>
        <v>HARRIS HOUSE</v>
      </c>
    </row>
    <row r="182" spans="1:4" x14ac:dyDescent="0.3">
      <c r="A182" t="s">
        <v>240</v>
      </c>
      <c r="B182" t="e">
        <f>VLOOKUP(A182,Enrollment!A:A,1,FALSE)</f>
        <v>#N/A</v>
      </c>
      <c r="C182" t="str">
        <f>VLOOKUP(A182,Building!A:A,1,FALSE)</f>
        <v>501 N PARK AVE</v>
      </c>
      <c r="D182" t="str">
        <f>VLOOKUP(A182,Distance!A:A,1,FALSE)</f>
        <v>501 N PARK AVE</v>
      </c>
    </row>
    <row r="183" spans="1:4" x14ac:dyDescent="0.3">
      <c r="A183" t="s">
        <v>203</v>
      </c>
      <c r="B183" t="e">
        <f>VLOOKUP(A183,Enrollment!A:A,1,FALSE)</f>
        <v>#N/A</v>
      </c>
      <c r="C183" t="str">
        <f>VLOOKUP(A183,Building!A:A,1,FALSE)</f>
        <v>406 N FESS GARAGE</v>
      </c>
      <c r="D183" t="str">
        <f>VLOOKUP(A183,Distance!A:A,1,FALSE)</f>
        <v>406 N FESS GARAGE</v>
      </c>
    </row>
    <row r="184" spans="1:4" x14ac:dyDescent="0.3">
      <c r="A184" t="s">
        <v>267</v>
      </c>
      <c r="B184" t="e">
        <f>VLOOKUP(A184,Enrollment!A:A,1,FALSE)</f>
        <v>#N/A</v>
      </c>
      <c r="C184" t="str">
        <f>VLOOKUP(A184,Building!A:A,1,FALSE)</f>
        <v>715 E 8TH ST</v>
      </c>
      <c r="D184" t="str">
        <f>VLOOKUP(A184,Distance!A:A,1,FALSE)</f>
        <v>715 E 8TH ST</v>
      </c>
    </row>
    <row r="185" spans="1:4" x14ac:dyDescent="0.3">
      <c r="A185" t="s">
        <v>112</v>
      </c>
      <c r="B185" t="str">
        <f>VLOOKUP(A185,Enrollment!A:A,1,FALSE)</f>
        <v>RADIO-TV</v>
      </c>
      <c r="C185" t="str">
        <f>VLOOKUP(A185,Building!A:A,1,FALSE)</f>
        <v>RADIO-TV</v>
      </c>
      <c r="D185" t="str">
        <f>VLOOKUP(A185,Distance!A:A,1,FALSE)</f>
        <v>RADIO-TV</v>
      </c>
    </row>
    <row r="186" spans="1:4" x14ac:dyDescent="0.3">
      <c r="A186" t="s">
        <v>598</v>
      </c>
      <c r="B186" t="e">
        <f>VLOOKUP(A186,Enrollment!A:A,1,FALSE)</f>
        <v>#N/A</v>
      </c>
      <c r="C186" t="str">
        <f>VLOOKUP(A186,Building!A:A,1,FALSE)</f>
        <v>SHOWALTER FOUNTAIN</v>
      </c>
      <c r="D186" t="str">
        <f>VLOOKUP(A186,Distance!A:A,1,FALSE)</f>
        <v>SHOWALTER FOUNTAIN</v>
      </c>
    </row>
    <row r="187" spans="1:4" x14ac:dyDescent="0.3">
      <c r="A187" t="s">
        <v>235</v>
      </c>
      <c r="B187" t="e">
        <f>VLOOKUP(A187,Enrollment!A:A,1,FALSE)</f>
        <v>#N/A</v>
      </c>
      <c r="C187" t="str">
        <f>VLOOKUP(A187,Building!A:A,1,FALSE)</f>
        <v>409 N PARK AVE</v>
      </c>
      <c r="D187" t="str">
        <f>VLOOKUP(A187,Distance!A:A,1,FALSE)</f>
        <v>409 N PARK AVE</v>
      </c>
    </row>
    <row r="188" spans="1:4" x14ac:dyDescent="0.3">
      <c r="A188" t="s">
        <v>77</v>
      </c>
      <c r="B188" t="str">
        <f>VLOOKUP(A188,Enrollment!A:A,1,FALSE)</f>
        <v>HUTTON HONORS COLLEGE</v>
      </c>
      <c r="C188" t="str">
        <f>VLOOKUP(A188,Building!A:A,1,FALSE)</f>
        <v>HUTTON HONORS COLLEGE</v>
      </c>
      <c r="D188" t="str">
        <f>VLOOKUP(A188,Distance!A:A,1,FALSE)</f>
        <v>HUTTON HONORS COLLEGE</v>
      </c>
    </row>
    <row r="189" spans="1:4" x14ac:dyDescent="0.3">
      <c r="A189" t="s">
        <v>196</v>
      </c>
      <c r="B189" t="e">
        <f>VLOOKUP(A189,Enrollment!A:A,1,FALSE)</f>
        <v>#N/A</v>
      </c>
      <c r="C189" t="str">
        <f>VLOOKUP(A189,Building!A:A,1,FALSE)</f>
        <v>IU MUSEUM OF ARCHAEOLOGY &amp; ANTHROPOLOGY</v>
      </c>
      <c r="D189" t="str">
        <f>VLOOKUP(A189,Distance!A:A,1,FALSE)</f>
        <v>IU MUSEUM OF ARCHAEOLOGY &amp; ANTHROPOLOGY</v>
      </c>
    </row>
    <row r="190" spans="1:4" x14ac:dyDescent="0.3">
      <c r="A190" t="s">
        <v>231</v>
      </c>
      <c r="B190" t="e">
        <f>VLOOKUP(A190,Enrollment!A:A,1,FALSE)</f>
        <v>#N/A</v>
      </c>
      <c r="C190" t="str">
        <f>VLOOKUP(A190,Building!A:A,1,FALSE)</f>
        <v>309-311 N PARK AVE</v>
      </c>
      <c r="D190" t="str">
        <f>VLOOKUP(A190,Distance!A:A,1,FALSE)</f>
        <v>309-311 N PARK AVE</v>
      </c>
    </row>
    <row r="191" spans="1:4" x14ac:dyDescent="0.3">
      <c r="A191" t="s">
        <v>152</v>
      </c>
      <c r="B191" t="str">
        <f>VLOOKUP(A191,Enrollment!A:A,1,FALSE)</f>
        <v>LILLY LIBRARY</v>
      </c>
      <c r="C191" t="str">
        <f>VLOOKUP(A191,Building!A:A,1,FALSE)</f>
        <v>LILLY LIBRARY</v>
      </c>
      <c r="D191" t="str">
        <f>VLOOKUP(A191,Distance!A:A,1,FALSE)</f>
        <v>LILLY LIBRARY</v>
      </c>
    </row>
    <row r="192" spans="1:4" x14ac:dyDescent="0.3">
      <c r="A192" t="s">
        <v>260</v>
      </c>
      <c r="B192" t="e">
        <f>VLOOKUP(A192,Enrollment!A:A,1,FALSE)</f>
        <v>#N/A</v>
      </c>
      <c r="C192" t="str">
        <f>VLOOKUP(A192,Building!A:A,1,FALSE)</f>
        <v>506 N INDIANA AVE</v>
      </c>
      <c r="D192" t="str">
        <f>VLOOKUP(A192,Distance!A:A,1,FALSE)</f>
        <v>506 N INDIANA AVE</v>
      </c>
    </row>
    <row r="193" spans="1:4" x14ac:dyDescent="0.3">
      <c r="A193" t="s">
        <v>283</v>
      </c>
      <c r="B193" t="e">
        <f>VLOOKUP(A193,Enrollment!A:A,1,FALSE)</f>
        <v>#N/A</v>
      </c>
      <c r="C193" t="str">
        <f>VLOOKUP(A193,Building!A:A,1,FALSE)</f>
        <v>7TH ST HUT</v>
      </c>
      <c r="D193" t="str">
        <f>VLOOKUP(A193,Distance!A:A,1,FALSE)</f>
        <v>7TH ST HUT</v>
      </c>
    </row>
    <row r="194" spans="1:4" x14ac:dyDescent="0.3">
      <c r="A194" t="s">
        <v>289</v>
      </c>
      <c r="B194" t="e">
        <f>VLOOKUP(A194,Enrollment!A:A,1,FALSE)</f>
        <v>#N/A</v>
      </c>
      <c r="C194" t="str">
        <f>VLOOKUP(A194,Building!A:A,1,FALSE)</f>
        <v>LEE NORVELLE THEATRE DRAMA/ NEAL&amp;MARS</v>
      </c>
      <c r="D194" t="str">
        <f>VLOOKUP(A194,Distance!A:A,1,FALSE)</f>
        <v>LEE NORVELLE THEATRE DRAMA/ NEAL&amp;MARS</v>
      </c>
    </row>
    <row r="195" spans="1:4" x14ac:dyDescent="0.3">
      <c r="A195" t="s">
        <v>202</v>
      </c>
      <c r="B195" t="e">
        <f>VLOOKUP(A195,Enrollment!A:A,1,FALSE)</f>
        <v>#N/A</v>
      </c>
      <c r="C195" t="str">
        <f>VLOOKUP(A195,Building!A:A,1,FALSE)</f>
        <v>406 N FESS AVE</v>
      </c>
      <c r="D195" t="str">
        <f>VLOOKUP(A195,Distance!A:A,1,FALSE)</f>
        <v>406 N FESS AVE</v>
      </c>
    </row>
    <row r="196" spans="1:4" x14ac:dyDescent="0.3">
      <c r="A196" t="s">
        <v>47</v>
      </c>
      <c r="B196" t="str">
        <f>VLOOKUP(A196,Enrollment!A:A,1,FALSE)</f>
        <v>AUDITORIUM</v>
      </c>
      <c r="C196" t="str">
        <f>VLOOKUP(A196,Building!A:A,1,FALSE)</f>
        <v>AUDITORIUM</v>
      </c>
      <c r="D196" t="str">
        <f>VLOOKUP(A196,Distance!A:A,1,FALSE)</f>
        <v>AUDITORIUM</v>
      </c>
    </row>
    <row r="197" spans="1:4" x14ac:dyDescent="0.3">
      <c r="A197" t="s">
        <v>238</v>
      </c>
      <c r="B197" t="e">
        <f>VLOOKUP(A197,Enrollment!A:A,1,FALSE)</f>
        <v>#N/A</v>
      </c>
      <c r="C197" t="str">
        <f>VLOOKUP(A197,Building!A:A,1,FALSE)</f>
        <v>E-HOUSE</v>
      </c>
      <c r="D197" t="str">
        <f>VLOOKUP(A197,Distance!A:A,1,FALSE)</f>
        <v>E-HOUSE</v>
      </c>
    </row>
    <row r="198" spans="1:4" x14ac:dyDescent="0.3">
      <c r="A198" t="s">
        <v>70</v>
      </c>
      <c r="B198" t="str">
        <f>VLOOKUP(A198,Enrollment!A:A,1,FALSE)</f>
        <v>FINE ARTS</v>
      </c>
      <c r="C198" t="str">
        <f>VLOOKUP(A198,Building!A:A,1,FALSE)</f>
        <v>FINE ARTS</v>
      </c>
      <c r="D198" t="str">
        <f>VLOOKUP(A198,Distance!A:A,1,FALSE)</f>
        <v>FINE ARTS</v>
      </c>
    </row>
    <row r="199" spans="1:4" x14ac:dyDescent="0.3">
      <c r="A199" t="s">
        <v>265</v>
      </c>
      <c r="B199" t="e">
        <f>VLOOKUP(A199,Enrollment!A:A,1,FALSE)</f>
        <v>#N/A</v>
      </c>
      <c r="C199" t="str">
        <f>VLOOKUP(A199,Building!A:A,1,FALSE)</f>
        <v>704 E 8TH ST</v>
      </c>
      <c r="D199" t="str">
        <f>VLOOKUP(A199,Distance!A:A,1,FALSE)</f>
        <v>704 E 8TH ST</v>
      </c>
    </row>
    <row r="200" spans="1:4" x14ac:dyDescent="0.3">
      <c r="A200" t="s">
        <v>294</v>
      </c>
      <c r="B200" t="e">
        <f>VLOOKUP(A200,Enrollment!A:A,1,FALSE)</f>
        <v>#N/A</v>
      </c>
      <c r="C200" t="str">
        <f>VLOOKUP(A200,Building!A:A,1,FALSE)</f>
        <v>300 N EAGLESON AVE</v>
      </c>
      <c r="D200" t="str">
        <f>VLOOKUP(A200,Distance!A:A,1,FALSE)</f>
        <v>300 N EAGLESON AVE</v>
      </c>
    </row>
    <row r="201" spans="1:4" x14ac:dyDescent="0.3">
      <c r="A201" t="s">
        <v>18</v>
      </c>
      <c r="B201" t="str">
        <f>VLOOKUP(A201,Enrollment!A:A,1,FALSE)</f>
        <v>WOODBURN HALL</v>
      </c>
      <c r="C201" t="str">
        <f>VLOOKUP(A201,Building!A:A,1,FALSE)</f>
        <v>WOODBURN HALL</v>
      </c>
      <c r="D201" t="str">
        <f>VLOOKUP(A201,Distance!A:A,1,FALSE)</f>
        <v>WOODBURN HALL</v>
      </c>
    </row>
    <row r="202" spans="1:4" x14ac:dyDescent="0.3">
      <c r="A202" t="s">
        <v>270</v>
      </c>
      <c r="B202" t="e">
        <f>VLOOKUP(A202,Enrollment!A:A,1,FALSE)</f>
        <v>#N/A</v>
      </c>
      <c r="C202" t="str">
        <f>VLOOKUP(A202,Building!A:A,1,FALSE)</f>
        <v>309 N WOODLAWN AVE</v>
      </c>
      <c r="D202" t="str">
        <f>VLOOKUP(A202,Distance!A:A,1,FALSE)</f>
        <v>309 N WOODLAWN AVE</v>
      </c>
    </row>
    <row r="203" spans="1:4" x14ac:dyDescent="0.3">
      <c r="A203" t="s">
        <v>249</v>
      </c>
      <c r="B203" t="e">
        <f>VLOOKUP(A203,Enrollment!A:A,1,FALSE)</f>
        <v>#N/A</v>
      </c>
      <c r="C203" t="str">
        <f>VLOOKUP(A203,Building!A:A,1,FALSE)</f>
        <v>506-508 N FESS AVE</v>
      </c>
      <c r="D203" t="str">
        <f>VLOOKUP(A203,Distance!A:A,1,FALSE)</f>
        <v>506-508 N FESS AVE</v>
      </c>
    </row>
    <row r="204" spans="1:4" x14ac:dyDescent="0.3">
      <c r="A204" t="s">
        <v>48</v>
      </c>
      <c r="B204" t="str">
        <f>VLOOKUP(A204,Enrollment!A:A,1,FALSE)</f>
        <v>BILL GARRETT FIELDHOUSE</v>
      </c>
      <c r="C204" t="str">
        <f>VLOOKUP(A204,Building!A:A,1,FALSE)</f>
        <v>BILL GARRETT FIELDHOUSE</v>
      </c>
      <c r="D204" t="str">
        <f>VLOOKUP(A204,Distance!A:A,1,FALSE)</f>
        <v>BILL GARRETT FIELDHOUSE</v>
      </c>
    </row>
    <row r="205" spans="1:4" x14ac:dyDescent="0.3">
      <c r="A205" t="s">
        <v>275</v>
      </c>
      <c r="B205" t="e">
        <f>VLOOKUP(A205,Enrollment!A:A,1,FALSE)</f>
        <v>#N/A</v>
      </c>
      <c r="C205" t="str">
        <f>VLOOKUP(A205,Building!A:A,1,FALSE)</f>
        <v>IMU GUARD HUT</v>
      </c>
      <c r="D205" t="str">
        <f>VLOOKUP(A205,Distance!A:A,1,FALSE)</f>
        <v>IMU GUARD HUT</v>
      </c>
    </row>
    <row r="206" spans="1:4" x14ac:dyDescent="0.3">
      <c r="A206" t="s">
        <v>296</v>
      </c>
      <c r="B206" t="e">
        <f>VLOOKUP(A206,Enrollment!A:A,1,FALSE)</f>
        <v>#N/A</v>
      </c>
      <c r="C206" t="str">
        <f>VLOOKUP(A206,Building!A:A,1,FALSE)</f>
        <v>BICENTENNIAL CARILLON</v>
      </c>
      <c r="D206" t="str">
        <f>VLOOKUP(A206,Distance!A:A,1,FALSE)</f>
        <v>BICENTENNIAL CARILLON</v>
      </c>
    </row>
    <row r="207" spans="1:4" x14ac:dyDescent="0.3">
      <c r="A207" t="s">
        <v>533</v>
      </c>
      <c r="B207" t="e">
        <f>VLOOKUP(A207,Enrollment!A:A,1,FALSE)</f>
        <v>#N/A</v>
      </c>
      <c r="C207" t="str">
        <f>VLOOKUP(A207,Building!A:A,1,FALSE)</f>
        <v>WOODBURN HOUSE</v>
      </c>
      <c r="D207" t="str">
        <f>VLOOKUP(A207,Distance!A:A,1,FALSE)</f>
        <v>WOODBURN HOUSE</v>
      </c>
    </row>
    <row r="208" spans="1:4" x14ac:dyDescent="0.3">
      <c r="A208" t="s">
        <v>65</v>
      </c>
      <c r="B208" t="str">
        <f>VLOOKUP(A208,Enrollment!A:A,1,FALSE)</f>
        <v>ERNIE PYLE HALL</v>
      </c>
      <c r="C208" t="str">
        <f>VLOOKUP(A208,Building!A:A,1,FALSE)</f>
        <v>ERNIE PYLE HALL</v>
      </c>
      <c r="D208" t="str">
        <f>VLOOKUP(A208,Distance!A:A,1,FALSE)</f>
        <v>ERNIE PYLE HALL</v>
      </c>
    </row>
    <row r="209" spans="1:4" x14ac:dyDescent="0.3">
      <c r="A209" t="s">
        <v>541</v>
      </c>
      <c r="B209" t="e">
        <f>VLOOKUP(A209,Enrollment!A:A,1,FALSE)</f>
        <v>#N/A</v>
      </c>
      <c r="C209" t="str">
        <f>VLOOKUP(A209,Building!A:A,1,FALSE)</f>
        <v>420 N WALNUT ST</v>
      </c>
      <c r="D209" t="str">
        <f>VLOOKUP(A209,Distance!A:A,1,FALSE)</f>
        <v>420 N WALNUT ST</v>
      </c>
    </row>
    <row r="210" spans="1:4" x14ac:dyDescent="0.3">
      <c r="A210" t="s">
        <v>287</v>
      </c>
      <c r="B210" t="e">
        <f>VLOOKUP(A210,Enrollment!A:A,1,FALSE)</f>
        <v>#N/A</v>
      </c>
      <c r="C210" t="str">
        <f>VLOOKUP(A210,Building!A:A,1,FALSE)</f>
        <v>SIDNEY &amp; LOIS ESKENAZI MUSEUM OF ART</v>
      </c>
      <c r="D210" t="str">
        <f>VLOOKUP(A210,Distance!A:A,1,FALSE)</f>
        <v>SIDNEY &amp; LOIS ESKENAZI MUSEUM OF ART</v>
      </c>
    </row>
    <row r="211" spans="1:4" x14ac:dyDescent="0.3">
      <c r="A211" t="s">
        <v>258</v>
      </c>
      <c r="B211" t="e">
        <f>VLOOKUP(A211,Enrollment!A:A,1,FALSE)</f>
        <v>#N/A</v>
      </c>
      <c r="C211" t="str">
        <f>VLOOKUP(A211,Building!A:A,1,FALSE)</f>
        <v>502 N INDIANA AVE</v>
      </c>
      <c r="D211" t="str">
        <f>VLOOKUP(A211,Distance!A:A,1,FALSE)</f>
        <v>502 N INDIANA AVE</v>
      </c>
    </row>
    <row r="212" spans="1:4" x14ac:dyDescent="0.3">
      <c r="A212" t="s">
        <v>243</v>
      </c>
      <c r="B212" t="e">
        <f>VLOOKUP(A212,Enrollment!A:A,1,FALSE)</f>
        <v>#N/A</v>
      </c>
      <c r="C212" t="str">
        <f>VLOOKUP(A212,Building!A:A,1,FALSE)</f>
        <v>417 N INDIANA AVE</v>
      </c>
      <c r="D212" t="str">
        <f>VLOOKUP(A212,Distance!A:A,1,FALSE)</f>
        <v>417 N INDIANA AVE</v>
      </c>
    </row>
    <row r="213" spans="1:4" x14ac:dyDescent="0.3">
      <c r="A213" t="s">
        <v>273</v>
      </c>
      <c r="B213" t="e">
        <f>VLOOKUP(A213,Enrollment!A:A,1,FALSE)</f>
        <v>#N/A</v>
      </c>
      <c r="C213" t="str">
        <f>VLOOKUP(A213,Building!A:A,1,FALSE)</f>
        <v>310-312 N PARK AVE</v>
      </c>
      <c r="D213" t="str">
        <f>VLOOKUP(A213,Distance!A:A,1,FALSE)</f>
        <v>310-312 N PARK AVE</v>
      </c>
    </row>
    <row r="214" spans="1:4" x14ac:dyDescent="0.3">
      <c r="A214" t="s">
        <v>254</v>
      </c>
      <c r="B214" t="e">
        <f>VLOOKUP(A214,Enrollment!A:A,1,FALSE)</f>
        <v>#N/A</v>
      </c>
      <c r="C214" t="str">
        <f>VLOOKUP(A214,Building!A:A,1,FALSE)</f>
        <v>SUNFLOWER DAYCARE</v>
      </c>
      <c r="D214" t="str">
        <f>VLOOKUP(A214,Distance!A:A,1,FALSE)</f>
        <v>SUNFLOWER DAYCARE</v>
      </c>
    </row>
    <row r="215" spans="1:4" x14ac:dyDescent="0.3">
      <c r="A215" t="s">
        <v>599</v>
      </c>
      <c r="B215" t="e">
        <f>VLOOKUP(A215,Enrollment!A:A,1,FALSE)</f>
        <v>#N/A</v>
      </c>
      <c r="C215" t="str">
        <f>VLOOKUP(A215,Building!A:A,1,FALSE)</f>
        <v>513 N PARK AVE</v>
      </c>
      <c r="D215" t="str">
        <f>VLOOKUP(A215,Distance!A:A,1,FALSE)</f>
        <v>513 N PARK AVE</v>
      </c>
    </row>
    <row r="216" spans="1:4" x14ac:dyDescent="0.3">
      <c r="A216" t="s">
        <v>268</v>
      </c>
      <c r="B216" t="e">
        <f>VLOOKUP(A216,Enrollment!A:A,1,FALSE)</f>
        <v>#N/A</v>
      </c>
      <c r="C216" t="str">
        <f>VLOOKUP(A216,Building!A:A,1,FALSE)</f>
        <v>708 E 8TH ST</v>
      </c>
      <c r="D216" t="str">
        <f>VLOOKUP(A216,Distance!A:A,1,FALSE)</f>
        <v>708 E 8TH ST</v>
      </c>
    </row>
    <row r="217" spans="1:4" x14ac:dyDescent="0.3">
      <c r="A217" t="s">
        <v>286</v>
      </c>
      <c r="B217" t="e">
        <f>VLOOKUP(A217,Enrollment!A:A,1,FALSE)</f>
        <v>#N/A</v>
      </c>
      <c r="C217" t="str">
        <f>VLOOKUP(A217,Building!A:A,1,FALSE)</f>
        <v>MUSIC PRACTICE</v>
      </c>
      <c r="D217" t="str">
        <f>VLOOKUP(A217,Distance!A:A,1,FALSE)</f>
        <v>MUSIC PRACTICE</v>
      </c>
    </row>
    <row r="218" spans="1:4" x14ac:dyDescent="0.3">
      <c r="A218" t="s">
        <v>40</v>
      </c>
      <c r="B218" t="str">
        <f>VLOOKUP(A218,Enrollment!A:A,1,FALSE)</f>
        <v>LOWELL E. BAIER HALL</v>
      </c>
      <c r="C218" t="str">
        <f>VLOOKUP(A218,Building!A:A,1,FALSE)</f>
        <v>LOWELL E. BAIER HALL</v>
      </c>
      <c r="D218" t="str">
        <f>VLOOKUP(A218,Distance!A:A,1,FALSE)</f>
        <v>LOWELL E. BAIER HALL</v>
      </c>
    </row>
    <row r="219" spans="1:4" x14ac:dyDescent="0.3">
      <c r="A219" t="s">
        <v>277</v>
      </c>
      <c r="B219" t="e">
        <f>VLOOKUP(A219,Enrollment!A:A,1,FALSE)</f>
        <v>#N/A</v>
      </c>
      <c r="C219" t="str">
        <f>VLOOKUP(A219,Building!A:A,1,FALSE)</f>
        <v>ATWATER EYE CARE CENTER</v>
      </c>
      <c r="D219" t="str">
        <f>VLOOKUP(A219,Distance!A:A,1,FALSE)</f>
        <v>ATWATER EYE CARE CENTER</v>
      </c>
    </row>
    <row r="220" spans="1:4" x14ac:dyDescent="0.3">
      <c r="A220" t="s">
        <v>600</v>
      </c>
      <c r="B220" t="e">
        <f>VLOOKUP(A220,Enrollment!A:A,1,FALSE)</f>
        <v>#N/A</v>
      </c>
      <c r="C220" t="str">
        <f>VLOOKUP(A220,Building!A:A,1,FALSE)</f>
        <v>CHI PHI</v>
      </c>
      <c r="D220" t="str">
        <f>VLOOKUP(A220,Distance!A:A,1,FALSE)</f>
        <v>CHI PHI</v>
      </c>
    </row>
    <row r="221" spans="1:4" x14ac:dyDescent="0.3">
      <c r="A221" t="s">
        <v>551</v>
      </c>
      <c r="B221" t="e">
        <f>VLOOKUP(A221,Enrollment!A:A,1,FALSE)</f>
        <v>#N/A</v>
      </c>
      <c r="C221" t="str">
        <f>VLOOKUP(A221,Building!A:A,1,FALSE)</f>
        <v>LAMBDA CHI ALPHA</v>
      </c>
      <c r="D221" t="str">
        <f>VLOOKUP(A221,Distance!A:A,1,FALSE)</f>
        <v>LAMBDA CHI ALPHA</v>
      </c>
    </row>
    <row r="222" spans="1:4" x14ac:dyDescent="0.3">
      <c r="A222" t="s">
        <v>225</v>
      </c>
      <c r="B222" t="e">
        <f>VLOOKUP(A222,Enrollment!A:A,1,FALSE)</f>
        <v>#N/A</v>
      </c>
      <c r="C222" t="str">
        <f>VLOOKUP(A222,Building!A:A,1,FALSE)</f>
        <v>209 S DUNN ST</v>
      </c>
      <c r="D222" t="str">
        <f>VLOOKUP(A222,Distance!A:A,1,FALSE)</f>
        <v>209 S DUNN ST</v>
      </c>
    </row>
    <row r="223" spans="1:4" x14ac:dyDescent="0.3">
      <c r="A223" t="s">
        <v>123</v>
      </c>
      <c r="B223" t="str">
        <f>VLOOKUP(A223,Enrollment!A:A,1,FALSE)</f>
        <v>SOCIAL RESEARCH</v>
      </c>
      <c r="C223" t="str">
        <f>VLOOKUP(A223,Building!A:A,1,FALSE)</f>
        <v>SOCIAL RESEARCH</v>
      </c>
      <c r="D223" t="str">
        <f>VLOOKUP(A223,Distance!A:A,1,FALSE)</f>
        <v>SOCIAL RESEARCH</v>
      </c>
    </row>
    <row r="224" spans="1:4" x14ac:dyDescent="0.3">
      <c r="A224" t="s">
        <v>281</v>
      </c>
      <c r="B224" t="e">
        <f>VLOOKUP(A224,Enrollment!A:A,1,FALSE)</f>
        <v>#N/A</v>
      </c>
      <c r="C224" t="str">
        <f>VLOOKUP(A224,Building!A:A,1,FALSE)</f>
        <v>BECK CHAPEL</v>
      </c>
      <c r="D224" t="str">
        <f>VLOOKUP(A224,Distance!A:A,1,FALSE)</f>
        <v>BECK CHAPEL</v>
      </c>
    </row>
    <row r="225" spans="1:4" x14ac:dyDescent="0.3">
      <c r="A225" t="s">
        <v>189</v>
      </c>
      <c r="B225" t="e">
        <f>VLOOKUP(A225,Enrollment!A:A,1,FALSE)</f>
        <v>#N/A</v>
      </c>
      <c r="C225" t="str">
        <f>VLOOKUP(A225,Building!A:A,1,FALSE)</f>
        <v>VON LEE</v>
      </c>
      <c r="D225" t="str">
        <f>VLOOKUP(A225,Distance!A:A,1,FALSE)</f>
        <v>VON LEE</v>
      </c>
    </row>
    <row r="226" spans="1:4" x14ac:dyDescent="0.3">
      <c r="A226" t="s">
        <v>527</v>
      </c>
      <c r="B226" t="e">
        <f>VLOOKUP(A226,Enrollment!A:A,1,FALSE)</f>
        <v>#N/A</v>
      </c>
      <c r="C226" t="str">
        <f>VLOOKUP(A226,Building!A:A,1,FALSE)</f>
        <v>1129 E ATWATER AVE</v>
      </c>
      <c r="D226" t="str">
        <f>VLOOKUP(A226,Distance!A:A,1,FALSE)</f>
        <v>1129 E ATWATER AVE</v>
      </c>
    </row>
    <row r="227" spans="1:4" x14ac:dyDescent="0.3">
      <c r="A227" t="s">
        <v>549</v>
      </c>
      <c r="B227" t="e">
        <f>VLOOKUP(A227,Enrollment!A:A,1,FALSE)</f>
        <v>#N/A</v>
      </c>
      <c r="C227" t="str">
        <f>VLOOKUP(A227,Building!A:A,1,FALSE)</f>
        <v>KAPPA KAPPA GAMMA</v>
      </c>
      <c r="D227" t="str">
        <f>VLOOKUP(A227,Distance!A:A,1,FALSE)</f>
        <v>KAPPA KAPPA GAMMA</v>
      </c>
    </row>
    <row r="228" spans="1:4" x14ac:dyDescent="0.3">
      <c r="A228" t="s">
        <v>282</v>
      </c>
      <c r="B228" t="e">
        <f>VLOOKUP(A228,Enrollment!A:A,1,FALSE)</f>
        <v>#N/A</v>
      </c>
      <c r="C228" t="str">
        <f>VLOOKUP(A228,Building!A:A,1,FALSE)</f>
        <v>GOODBODY HALL</v>
      </c>
      <c r="D228" t="str">
        <f>VLOOKUP(A228,Distance!A:A,1,FALSE)</f>
        <v>GOODBODY HALL</v>
      </c>
    </row>
    <row r="229" spans="1:4" x14ac:dyDescent="0.3">
      <c r="A229" t="s">
        <v>546</v>
      </c>
      <c r="B229" t="e">
        <f>VLOOKUP(A229,Enrollment!A:A,1,FALSE)</f>
        <v>#N/A</v>
      </c>
      <c r="C229" t="str">
        <f>VLOOKUP(A229,Building!A:A,1,FALSE)</f>
        <v>DELTA PHI EPSILON</v>
      </c>
      <c r="D229" t="str">
        <f>VLOOKUP(A229,Distance!A:A,1,FALSE)</f>
        <v>DELTA PHI EPSILON</v>
      </c>
    </row>
    <row r="230" spans="1:4" x14ac:dyDescent="0.3">
      <c r="A230" t="s">
        <v>19</v>
      </c>
      <c r="B230" t="str">
        <f>VLOOKUP(A230,Enrollment!A:A,1,FALSE)</f>
        <v>WYLIE HALL</v>
      </c>
      <c r="C230" t="str">
        <f>VLOOKUP(A230,Building!A:A,1,FALSE)</f>
        <v>WYLIE HALL</v>
      </c>
      <c r="D230" t="str">
        <f>VLOOKUP(A230,Distance!A:A,1,FALSE)</f>
        <v>WYLIE HALL</v>
      </c>
    </row>
    <row r="231" spans="1:4" x14ac:dyDescent="0.3">
      <c r="A231" t="s">
        <v>7</v>
      </c>
      <c r="B231" t="str">
        <f>VLOOKUP(A231,Enrollment!A:A,1,FALSE)</f>
        <v>KIRKWOOD HALL</v>
      </c>
      <c r="C231" t="str">
        <f>VLOOKUP(A231,Building!A:A,1,FALSE)</f>
        <v>KIRKWOOD HALL</v>
      </c>
      <c r="D231" t="str">
        <f>VLOOKUP(A231,Distance!A:A,1,FALSE)</f>
        <v>KIRKWOOD HALL</v>
      </c>
    </row>
    <row r="232" spans="1:4" x14ac:dyDescent="0.3">
      <c r="A232" t="s">
        <v>99</v>
      </c>
      <c r="B232" t="str">
        <f>VLOOKUP(A232,Enrollment!A:A,1,FALSE)</f>
        <v>MERRILL HALL</v>
      </c>
      <c r="C232" t="str">
        <f>VLOOKUP(A232,Building!A:A,1,FALSE)</f>
        <v>MERRILL HALL</v>
      </c>
      <c r="D232" t="str">
        <f>VLOOKUP(A232,Distance!A:A,1,FALSE)</f>
        <v>MERRILL HALL</v>
      </c>
    </row>
    <row r="233" spans="1:4" x14ac:dyDescent="0.3">
      <c r="A233" t="s">
        <v>521</v>
      </c>
      <c r="B233" t="e">
        <f>VLOOKUP(A233,Enrollment!A:A,1,FALSE)</f>
        <v>#N/A</v>
      </c>
      <c r="C233" t="str">
        <f>VLOOKUP(A233,Building!A:A,1,FALSE)</f>
        <v>1211 E ATWATER AVE</v>
      </c>
      <c r="D233" t="str">
        <f>VLOOKUP(A233,Distance!A:A,1,FALSE)</f>
        <v>1211 E ATWATER AVE</v>
      </c>
    </row>
    <row r="234" spans="1:4" x14ac:dyDescent="0.3">
      <c r="A234" t="s">
        <v>102</v>
      </c>
      <c r="B234" t="str">
        <f>VLOOKUP(A234,Enrollment!A:A,1,FALSE)</f>
        <v>MUSIC ADDITION</v>
      </c>
      <c r="C234" t="str">
        <f>VLOOKUP(A234,Building!A:A,1,FALSE)</f>
        <v>MUSIC ADDITION</v>
      </c>
      <c r="D234" t="str">
        <f>VLOOKUP(A234,Distance!A:A,1,FALSE)</f>
        <v>MUSIC ADDITION</v>
      </c>
    </row>
    <row r="235" spans="1:4" x14ac:dyDescent="0.3">
      <c r="A235" t="s">
        <v>224</v>
      </c>
      <c r="B235" t="e">
        <f>VLOOKUP(A235,Enrollment!A:A,1,FALSE)</f>
        <v>#N/A</v>
      </c>
      <c r="C235" t="str">
        <f>VLOOKUP(A235,Building!A:A,1,FALSE)</f>
        <v>324 S HENDERSON ST</v>
      </c>
      <c r="D235" t="str">
        <f>VLOOKUP(A235,Distance!A:A,1,FALSE)</f>
        <v>324 S HENDERSON ST</v>
      </c>
    </row>
    <row r="236" spans="1:4" x14ac:dyDescent="0.3">
      <c r="A236" t="s">
        <v>222</v>
      </c>
      <c r="B236" t="e">
        <f>VLOOKUP(A236,Enrollment!A:A,1,FALSE)</f>
        <v>#N/A</v>
      </c>
      <c r="C236" t="str">
        <f>VLOOKUP(A236,Building!A:A,1,FALSE)</f>
        <v>618 E 3RD ST</v>
      </c>
      <c r="D236" t="str">
        <f>VLOOKUP(A236,Distance!A:A,1,FALSE)</f>
        <v>618 E 3RD ST</v>
      </c>
    </row>
    <row r="237" spans="1:4" x14ac:dyDescent="0.3">
      <c r="A237" t="s">
        <v>285</v>
      </c>
      <c r="B237" t="e">
        <f>VLOOKUP(A237,Enrollment!A:A,1,FALSE)</f>
        <v>#N/A</v>
      </c>
      <c r="C237" t="str">
        <f>VLOOKUP(A237,Building!A:A,1,FALSE)</f>
        <v>MEMORIAL HALL</v>
      </c>
      <c r="D237" t="str">
        <f>VLOOKUP(A237,Distance!A:A,1,FALSE)</f>
        <v>MEMORIAL HALL</v>
      </c>
    </row>
    <row r="238" spans="1:4" x14ac:dyDescent="0.3">
      <c r="A238" t="s">
        <v>524</v>
      </c>
      <c r="B238" t="e">
        <f>VLOOKUP(A238,Enrollment!A:A,1,FALSE)</f>
        <v>#N/A</v>
      </c>
      <c r="C238" t="str">
        <f>VLOOKUP(A238,Building!A:A,1,FALSE)</f>
        <v>920 E ATWATER AVE</v>
      </c>
      <c r="D238" t="str">
        <f>VLOOKUP(A238,Distance!A:A,1,FALSE)</f>
        <v>920 E ATWATER AVE</v>
      </c>
    </row>
    <row r="239" spans="1:4" x14ac:dyDescent="0.3">
      <c r="A239" t="s">
        <v>13</v>
      </c>
      <c r="B239" t="str">
        <f>VLOOKUP(A239,Enrollment!A:A,1,FALSE)</f>
        <v>SIMON MSC LBR REC</v>
      </c>
      <c r="C239" t="str">
        <f>VLOOKUP(A239,Building!A:A,1,FALSE)</f>
        <v>SIMON MSC LBR REC</v>
      </c>
      <c r="D239" t="str">
        <f>VLOOKUP(A239,Distance!A:A,1,FALSE)</f>
        <v>SIMON MSC LBR REC</v>
      </c>
    </row>
    <row r="240" spans="1:4" x14ac:dyDescent="0.3">
      <c r="A240" t="s">
        <v>298</v>
      </c>
      <c r="B240" t="e">
        <f>VLOOKUP(A240,Enrollment!A:A,1,FALSE)</f>
        <v>#N/A</v>
      </c>
      <c r="C240" t="str">
        <f>VLOOKUP(A240,Building!A:A,1,FALSE)</f>
        <v>INTERNATIONAL CENTER</v>
      </c>
      <c r="D240" t="str">
        <f>VLOOKUP(A240,Distance!A:A,1,FALSE)</f>
        <v>INTERNATIONAL CENTER</v>
      </c>
    </row>
    <row r="241" spans="1:4" x14ac:dyDescent="0.3">
      <c r="A241" t="s">
        <v>531</v>
      </c>
      <c r="B241" t="e">
        <f>VLOOKUP(A241,Enrollment!A:A,1,FALSE)</f>
        <v>#N/A</v>
      </c>
      <c r="C241" t="str">
        <f>VLOOKUP(A241,Building!A:A,1,FALSE)</f>
        <v>1220 E ATWATER AVE</v>
      </c>
      <c r="D241" t="str">
        <f>VLOOKUP(A241,Distance!A:A,1,FALSE)</f>
        <v>1220 E ATWATER AVE</v>
      </c>
    </row>
    <row r="242" spans="1:4" x14ac:dyDescent="0.3">
      <c r="A242" t="s">
        <v>114</v>
      </c>
      <c r="B242" t="str">
        <f>VLOOKUP(A242,Enrollment!A:A,1,FALSE)</f>
        <v>RAWLES HALL</v>
      </c>
      <c r="C242" t="str">
        <f>VLOOKUP(A242,Building!A:A,1,FALSE)</f>
        <v>RAWLES HALL</v>
      </c>
      <c r="D242" t="str">
        <f>VLOOKUP(A242,Distance!A:A,1,FALSE)</f>
        <v>RAWLES HALL</v>
      </c>
    </row>
    <row r="243" spans="1:4" x14ac:dyDescent="0.3">
      <c r="A243" t="s">
        <v>552</v>
      </c>
      <c r="B243" t="e">
        <f>VLOOKUP(A243,Enrollment!A:A,1,FALSE)</f>
        <v>#N/A</v>
      </c>
      <c r="C243" t="str">
        <f>VLOOKUP(A243,Building!A:A,1,FALSE)</f>
        <v>DELTA GAMMA</v>
      </c>
      <c r="D243" t="str">
        <f>VLOOKUP(A243,Distance!A:A,1,FALSE)</f>
        <v>DELTA GAMMA</v>
      </c>
    </row>
    <row r="244" spans="1:4" x14ac:dyDescent="0.3">
      <c r="A244" t="s">
        <v>523</v>
      </c>
      <c r="B244" t="e">
        <f>VLOOKUP(A244,Enrollment!A:A,1,FALSE)</f>
        <v>#N/A</v>
      </c>
      <c r="C244" t="str">
        <f>VLOOKUP(A244,Building!A:A,1,FALSE)</f>
        <v>1217 E ATWATER</v>
      </c>
      <c r="D244" t="str">
        <f>VLOOKUP(A244,Distance!A:A,1,FALSE)</f>
        <v>1217 E ATWATER</v>
      </c>
    </row>
    <row r="245" spans="1:4" x14ac:dyDescent="0.3">
      <c r="A245" t="s">
        <v>55</v>
      </c>
      <c r="B245" t="str">
        <f>VLOOKUP(A245,Enrollment!A:A,1,FALSE)</f>
        <v>CLASSROOM-OFFICE BUILDING</v>
      </c>
      <c r="C245" t="str">
        <f>VLOOKUP(A245,Building!A:A,1,FALSE)</f>
        <v>CLASSROOM-OFFICE BUILDING</v>
      </c>
      <c r="D245" t="str">
        <f>VLOOKUP(A245,Distance!A:A,1,FALSE)</f>
        <v>CLASSROOM-OFFICE BUILDING</v>
      </c>
    </row>
    <row r="246" spans="1:4" x14ac:dyDescent="0.3">
      <c r="A246" t="s">
        <v>221</v>
      </c>
      <c r="B246" t="e">
        <f>VLOOKUP(A246,Enrollment!A:A,1,FALSE)</f>
        <v>#N/A</v>
      </c>
      <c r="C246" t="str">
        <f>VLOOKUP(A246,Building!A:A,1,FALSE)</f>
        <v>630 E 3RD ST</v>
      </c>
      <c r="D246" t="str">
        <f>VLOOKUP(A246,Distance!A:A,1,FALSE)</f>
        <v>630 E 3RD ST</v>
      </c>
    </row>
    <row r="247" spans="1:4" x14ac:dyDescent="0.3">
      <c r="A247" t="s">
        <v>228</v>
      </c>
      <c r="B247" t="e">
        <f>VLOOKUP(A247,Enrollment!A:A,1,FALSE)</f>
        <v>#N/A</v>
      </c>
      <c r="C247" t="str">
        <f>VLOOKUP(A247,Building!A:A,1,FALSE)</f>
        <v>314 S HENDERSON ST</v>
      </c>
      <c r="D247" t="str">
        <f>VLOOKUP(A247,Distance!A:A,1,FALSE)</f>
        <v>314 S HENDERSON ST</v>
      </c>
    </row>
    <row r="248" spans="1:4" x14ac:dyDescent="0.3">
      <c r="A248" t="s">
        <v>192</v>
      </c>
      <c r="B248" t="e">
        <f>VLOOKUP(A248,Enrollment!A:A,1,FALSE)</f>
        <v>#N/A</v>
      </c>
      <c r="C248" t="str">
        <f>VLOOKUP(A248,Building!A:A,1,FALSE)</f>
        <v>214 N DUNN ST</v>
      </c>
      <c r="D248" t="str">
        <f>VLOOKUP(A248,Distance!A:A,1,FALSE)</f>
        <v>214 N DUNN ST</v>
      </c>
    </row>
    <row r="249" spans="1:4" x14ac:dyDescent="0.3">
      <c r="A249" t="s">
        <v>49</v>
      </c>
      <c r="B249" t="str">
        <f>VLOOKUP(A249,Enrollment!A:A,1,FALSE)</f>
        <v>BIOLOGY BUILDING</v>
      </c>
      <c r="C249" t="str">
        <f>VLOOKUP(A249,Building!A:A,1,FALSE)</f>
        <v>BIOLOGY BUILDING</v>
      </c>
      <c r="D249" t="str">
        <f>VLOOKUP(A249,Distance!A:A,1,FALSE)</f>
        <v>BIOLOGY BUILDING</v>
      </c>
    </row>
    <row r="250" spans="1:4" x14ac:dyDescent="0.3">
      <c r="A250" t="s">
        <v>129</v>
      </c>
      <c r="B250" t="str">
        <f>VLOOKUP(A250,Enrollment!A:A,1,FALSE)</f>
        <v>SWAIN WEST</v>
      </c>
      <c r="C250" t="str">
        <f>VLOOKUP(A250,Building!A:A,1,FALSE)</f>
        <v>SWAIN WEST</v>
      </c>
      <c r="D250" t="str">
        <f>VLOOKUP(A250,Distance!A:A,1,FALSE)</f>
        <v>SWAIN WEST</v>
      </c>
    </row>
    <row r="251" spans="1:4" x14ac:dyDescent="0.3">
      <c r="A251" t="s">
        <v>215</v>
      </c>
      <c r="B251" t="e">
        <f>VLOOKUP(A251,Enrollment!A:A,1,FALSE)</f>
        <v>#N/A</v>
      </c>
      <c r="C251" t="str">
        <f>VLOOKUP(A251,Building!A:A,1,FALSE)</f>
        <v>KIRKWOOD OBSERVATORY</v>
      </c>
      <c r="D251" t="str">
        <f>VLOOKUP(A251,Distance!A:A,1,FALSE)</f>
        <v>KIRKWOOD OBSERVATORY</v>
      </c>
    </row>
    <row r="252" spans="1:4" x14ac:dyDescent="0.3">
      <c r="A252" t="s">
        <v>550</v>
      </c>
      <c r="B252" t="e">
        <f>VLOOKUP(A252,Enrollment!A:A,1,FALSE)</f>
        <v>#N/A</v>
      </c>
      <c r="C252" t="str">
        <f>VLOOKUP(A252,Building!A:A,1,FALSE)</f>
        <v>DELTA UPSILON</v>
      </c>
      <c r="D252" t="str">
        <f>VLOOKUP(A252,Distance!A:A,1,FALSE)</f>
        <v>DELTA UPSILON</v>
      </c>
    </row>
    <row r="253" spans="1:4" x14ac:dyDescent="0.3">
      <c r="A253" t="s">
        <v>229</v>
      </c>
      <c r="B253" t="e">
        <f>VLOOKUP(A253,Enrollment!A:A,1,FALSE)</f>
        <v>#N/A</v>
      </c>
      <c r="C253" t="str">
        <f>VLOOKUP(A253,Building!A:A,1,FALSE)</f>
        <v>508 E 3RD ST</v>
      </c>
      <c r="D253" t="str">
        <f>VLOOKUP(A253,Distance!A:A,1,FALSE)</f>
        <v>508 E 3RD ST</v>
      </c>
    </row>
    <row r="254" spans="1:4" x14ac:dyDescent="0.3">
      <c r="A254" t="s">
        <v>279</v>
      </c>
      <c r="B254" t="e">
        <f>VLOOKUP(A254,Enrollment!A:A,1,FALSE)</f>
        <v>#N/A</v>
      </c>
      <c r="C254" t="str">
        <f>VLOOKUP(A254,Building!A:A,1,FALSE)</f>
        <v>ATWATER PARKING</v>
      </c>
      <c r="D254" t="str">
        <f>VLOOKUP(A254,Distance!A:A,1,FALSE)</f>
        <v>ATWATER PARKING</v>
      </c>
    </row>
    <row r="255" spans="1:4" x14ac:dyDescent="0.3">
      <c r="A255" t="s">
        <v>193</v>
      </c>
      <c r="B255" t="e">
        <f>VLOOKUP(A255,Enrollment!A:A,1,FALSE)</f>
        <v>#N/A</v>
      </c>
      <c r="C255" t="str">
        <f>VLOOKUP(A255,Building!A:A,1,FALSE)</f>
        <v>222 N DUNN ST</v>
      </c>
      <c r="D255" t="str">
        <f>VLOOKUP(A255,Distance!A:A,1,FALSE)</f>
        <v>222 N DUNN ST</v>
      </c>
    </row>
    <row r="256" spans="1:4" x14ac:dyDescent="0.3">
      <c r="A256" t="s">
        <v>218</v>
      </c>
      <c r="B256" t="e">
        <f>VLOOKUP(A256,Enrollment!A:A,1,FALSE)</f>
        <v>#N/A</v>
      </c>
      <c r="C256" t="str">
        <f>VLOOKUP(A256,Building!A:A,1,FALSE)</f>
        <v>518 E 7TH ST</v>
      </c>
      <c r="D256" t="str">
        <f>VLOOKUP(A256,Distance!A:A,1,FALSE)</f>
        <v>518 E 7TH ST</v>
      </c>
    </row>
    <row r="257" spans="1:4" x14ac:dyDescent="0.3">
      <c r="A257" t="s">
        <v>522</v>
      </c>
      <c r="B257" t="e">
        <f>VLOOKUP(A257,Enrollment!A:A,1,FALSE)</f>
        <v>#N/A</v>
      </c>
      <c r="C257" t="str">
        <f>VLOOKUP(A257,Building!A:A,1,FALSE)</f>
        <v>JOURNAL AMERICAN HISTORY</v>
      </c>
      <c r="D257" t="str">
        <f>VLOOKUP(A257,Distance!A:A,1,FALSE)</f>
        <v>JOURNAL AMERICAN HISTORY</v>
      </c>
    </row>
    <row r="258" spans="1:4" x14ac:dyDescent="0.3">
      <c r="A258" t="s">
        <v>223</v>
      </c>
      <c r="B258" t="e">
        <f>VLOOKUP(A258,Enrollment!A:A,1,FALSE)</f>
        <v>#N/A</v>
      </c>
      <c r="C258" t="str">
        <f>VLOOKUP(A258,Building!A:A,1,FALSE)</f>
        <v>624 E 3RD ST</v>
      </c>
      <c r="D258" t="str">
        <f>VLOOKUP(A258,Distance!A:A,1,FALSE)</f>
        <v>624 E 3RD ST</v>
      </c>
    </row>
    <row r="259" spans="1:4" x14ac:dyDescent="0.3">
      <c r="A259" t="s">
        <v>9</v>
      </c>
      <c r="B259" t="str">
        <f>VLOOKUP(A259,Enrollment!A:A,1,FALSE)</f>
        <v>LINDLEY HALL</v>
      </c>
      <c r="C259" t="str">
        <f>VLOOKUP(A259,Building!A:A,1,FALSE)</f>
        <v>LINDLEY HALL</v>
      </c>
      <c r="D259" t="str">
        <f>VLOOKUP(A259,Distance!A:A,1,FALSE)</f>
        <v>LINDLEY HALL</v>
      </c>
    </row>
    <row r="260" spans="1:4" x14ac:dyDescent="0.3">
      <c r="A260" t="s">
        <v>186</v>
      </c>
      <c r="B260" t="e">
        <f>VLOOKUP(A260,Enrollment!A:A,1,FALSE)</f>
        <v>#N/A</v>
      </c>
      <c r="C260" t="str">
        <f>VLOOKUP(A260,Building!A:A,1,FALSE)</f>
        <v>502 E 4TH ST</v>
      </c>
      <c r="D260" t="str">
        <f>VLOOKUP(A260,Distance!A:A,1,FALSE)</f>
        <v>502 E 4TH ST</v>
      </c>
    </row>
    <row r="261" spans="1:4" x14ac:dyDescent="0.3">
      <c r="A261" t="s">
        <v>526</v>
      </c>
      <c r="B261" t="e">
        <f>VLOOKUP(A261,Enrollment!A:A,1,FALSE)</f>
        <v>#N/A</v>
      </c>
      <c r="C261" t="str">
        <f>VLOOKUP(A261,Building!A:A,1,FALSE)</f>
        <v>1211.5 E ATWATER AVE</v>
      </c>
      <c r="D261" t="str">
        <f>VLOOKUP(A261,Distance!A:A,1,FALSE)</f>
        <v>1211.5 E ATWATER AVE</v>
      </c>
    </row>
    <row r="262" spans="1:4" x14ac:dyDescent="0.3">
      <c r="A262" t="s">
        <v>214</v>
      </c>
      <c r="B262" t="e">
        <f>VLOOKUP(A262,Enrollment!A:A,1,FALSE)</f>
        <v>#N/A</v>
      </c>
      <c r="C262" t="str">
        <f>VLOOKUP(A262,Building!A:A,1,FALSE)</f>
        <v>STUDENT BUILDING (FRANCES MORGAN SWAIN)</v>
      </c>
      <c r="D262" t="str">
        <f>VLOOKUP(A262,Distance!A:A,1,FALSE)</f>
        <v>STUDENT BUILDING (FRANCES MORGAN SWAIN)</v>
      </c>
    </row>
    <row r="263" spans="1:4" x14ac:dyDescent="0.3">
      <c r="A263" t="s">
        <v>3</v>
      </c>
      <c r="B263" t="str">
        <f>VLOOKUP(A263,Enrollment!A:A,1,FALSE)</f>
        <v>FRANKLIN HALL</v>
      </c>
      <c r="C263" t="str">
        <f>VLOOKUP(A263,Building!A:A,1,FALSE)</f>
        <v>FRANKLIN HALL</v>
      </c>
      <c r="D263" t="str">
        <f>VLOOKUP(A263,Distance!A:A,1,FALSE)</f>
        <v>FRANKLIN HALL</v>
      </c>
    </row>
    <row r="264" spans="1:4" x14ac:dyDescent="0.3">
      <c r="A264" t="s">
        <v>530</v>
      </c>
      <c r="B264" t="e">
        <f>VLOOKUP(A264,Enrollment!A:A,1,FALSE)</f>
        <v>#N/A</v>
      </c>
      <c r="C264" t="str">
        <f>VLOOKUP(A264,Building!A:A,1,FALSE)</f>
        <v>1200 E ATWATER AVE</v>
      </c>
      <c r="D264" t="str">
        <f>VLOOKUP(A264,Distance!A:A,1,FALSE)</f>
        <v>1200 E ATWATER AVE</v>
      </c>
    </row>
    <row r="265" spans="1:4" x14ac:dyDescent="0.3">
      <c r="A265" t="s">
        <v>183</v>
      </c>
      <c r="B265" t="str">
        <f>VLOOKUP(A265,Enrollment!A:A,1,FALSE)</f>
        <v>MAXWELL HALL</v>
      </c>
      <c r="C265" t="str">
        <f>VLOOKUP(A265,Building!A:A,1,FALSE)</f>
        <v>MAXWELL HALL</v>
      </c>
      <c r="D265" t="str">
        <f>VLOOKUP(A265,Distance!A:A,1,FALSE)</f>
        <v>MAXWELL HALL</v>
      </c>
    </row>
    <row r="266" spans="1:4" x14ac:dyDescent="0.3">
      <c r="A266" t="s">
        <v>187</v>
      </c>
      <c r="B266" t="e">
        <f>VLOOKUP(A266,Enrollment!A:A,1,FALSE)</f>
        <v>#N/A</v>
      </c>
      <c r="C266" t="str">
        <f>VLOOKUP(A266,Building!A:A,1,FALSE)</f>
        <v>BRYAN HALL</v>
      </c>
      <c r="D266" t="str">
        <f>VLOOKUP(A266,Distance!A:A,1,FALSE)</f>
        <v>BRYAN HALL</v>
      </c>
    </row>
    <row r="267" spans="1:4" x14ac:dyDescent="0.3">
      <c r="A267" t="s">
        <v>219</v>
      </c>
      <c r="B267" t="e">
        <f>VLOOKUP(A267,Enrollment!A:A,1,FALSE)</f>
        <v>#N/A</v>
      </c>
      <c r="C267" t="str">
        <f>VLOOKUP(A267,Building!A:A,1,FALSE)</f>
        <v>527 E 7TH ST</v>
      </c>
      <c r="D267" t="str">
        <f>VLOOKUP(A267,Distance!A:A,1,FALSE)</f>
        <v>527 E 7TH ST</v>
      </c>
    </row>
    <row r="268" spans="1:4" x14ac:dyDescent="0.3">
      <c r="A268" t="s">
        <v>529</v>
      </c>
      <c r="B268" t="e">
        <f>VLOOKUP(A268,Enrollment!A:A,1,FALSE)</f>
        <v>#N/A</v>
      </c>
      <c r="C268" t="str">
        <f>VLOOKUP(A268,Building!A:A,1,FALSE)</f>
        <v>1015 E ATWATER AVE</v>
      </c>
      <c r="D268" t="str">
        <f>VLOOKUP(A268,Distance!A:A,1,FALSE)</f>
        <v>1015 E ATWATER AVE</v>
      </c>
    </row>
    <row r="269" spans="1:4" x14ac:dyDescent="0.3">
      <c r="A269" t="s">
        <v>601</v>
      </c>
      <c r="B269" t="e">
        <f>VLOOKUP(A269,Enrollment!A:A,1,FALSE)</f>
        <v>#N/A</v>
      </c>
      <c r="C269" t="str">
        <f>VLOOKUP(A269,Building!A:A,1,FALSE)</f>
        <v>914 E ATWATER AVE</v>
      </c>
      <c r="D269" t="str">
        <f>VLOOKUP(A269,Distance!A:A,1,FALSE)</f>
        <v>914 E ATWATER AVE</v>
      </c>
    </row>
    <row r="270" spans="1:4" x14ac:dyDescent="0.3">
      <c r="A270" t="s">
        <v>103</v>
      </c>
      <c r="B270" t="str">
        <f>VLOOKUP(A270,Enrollment!A:A,1,FALSE)</f>
        <v>MUSICAL ARTS CENTER</v>
      </c>
      <c r="C270" t="str">
        <f>VLOOKUP(A270,Building!A:A,1,FALSE)</f>
        <v>MUSICAL ARTS CENTER</v>
      </c>
      <c r="D270" t="str">
        <f>VLOOKUP(A270,Distance!A:A,1,FALSE)</f>
        <v>MUSICAL ARTS CENTER</v>
      </c>
    </row>
    <row r="271" spans="1:4" x14ac:dyDescent="0.3">
      <c r="A271" t="s">
        <v>227</v>
      </c>
      <c r="B271" t="e">
        <f>VLOOKUP(A271,Enrollment!A:A,1,FALSE)</f>
        <v>#N/A</v>
      </c>
      <c r="C271" t="str">
        <f>VLOOKUP(A271,Building!A:A,1,FALSE)</f>
        <v>509 E 3RD ST</v>
      </c>
      <c r="D271" t="str">
        <f>VLOOKUP(A271,Distance!A:A,1,FALSE)</f>
        <v>509 E 3RD ST</v>
      </c>
    </row>
    <row r="272" spans="1:4" x14ac:dyDescent="0.3">
      <c r="A272" t="s">
        <v>547</v>
      </c>
      <c r="B272" t="e">
        <f>VLOOKUP(A272,Enrollment!A:A,1,FALSE)</f>
        <v>#N/A</v>
      </c>
      <c r="C272" t="str">
        <f>VLOOKUP(A272,Building!A:A,1,FALSE)</f>
        <v>ALPHA PHI</v>
      </c>
      <c r="D272" t="str">
        <f>VLOOKUP(A272,Distance!A:A,1,FALSE)</f>
        <v>ALPHA PHI</v>
      </c>
    </row>
    <row r="273" spans="1:4" x14ac:dyDescent="0.3">
      <c r="A273" t="s">
        <v>587</v>
      </c>
      <c r="B273" t="str">
        <f>VLOOKUP(A273,Enrollment!A:A,1,FALSE)</f>
        <v>Hillel Center</v>
      </c>
      <c r="C273" t="str">
        <f>VLOOKUP(A273,Building!A:A,1,FALSE)</f>
        <v>HILLEL CENTER</v>
      </c>
      <c r="D273" t="str">
        <f>VLOOKUP(A273,Distance!A:A,1,FALSE)</f>
        <v>HILLEL CENTER</v>
      </c>
    </row>
    <row r="274" spans="1:4" x14ac:dyDescent="0.3">
      <c r="A274" t="s">
        <v>53</v>
      </c>
      <c r="B274" t="str">
        <f>VLOOKUP(A274,Enrollment!A:A,1,FALSE)</f>
        <v>CHEMISTRY</v>
      </c>
      <c r="C274" t="str">
        <f>VLOOKUP(A274,Building!A:A,1,FALSE)</f>
        <v>CHEMISTRY</v>
      </c>
      <c r="D274" t="str">
        <f>VLOOKUP(A274,Distance!A:A,1,FALSE)</f>
        <v>CHEMISTRY</v>
      </c>
    </row>
    <row r="275" spans="1:4" x14ac:dyDescent="0.3">
      <c r="A275" t="s">
        <v>602</v>
      </c>
      <c r="B275" t="e">
        <f>VLOOKUP(A275,Enrollment!A:A,1,FALSE)</f>
        <v>#N/A</v>
      </c>
      <c r="C275" t="str">
        <f>VLOOKUP(A275,Building!A:A,1,FALSE)</f>
        <v>BETA SIGMA PSI</v>
      </c>
      <c r="D275" t="str">
        <f>VLOOKUP(A275,Distance!A:A,1,FALSE)</f>
        <v>BETA SIGMA PSI</v>
      </c>
    </row>
    <row r="276" spans="1:4" x14ac:dyDescent="0.3">
      <c r="A276" t="s">
        <v>528</v>
      </c>
      <c r="B276" t="e">
        <f>VLOOKUP(A276,Enrollment!A:A,1,FALSE)</f>
        <v>#N/A</v>
      </c>
      <c r="C276" t="str">
        <f>VLOOKUP(A276,Building!A:A,1,FALSE)</f>
        <v>1103 E ATWATER AVE</v>
      </c>
      <c r="D276" t="str">
        <f>VLOOKUP(A276,Distance!A:A,1,FALSE)</f>
        <v>1103 E ATWATER AVE</v>
      </c>
    </row>
    <row r="277" spans="1:4" x14ac:dyDescent="0.3">
      <c r="A277" t="s">
        <v>166</v>
      </c>
      <c r="B277" t="str">
        <f>VLOOKUP(A277,Enrollment!A:A,1,FALSE)</f>
        <v>SYCAMORE HALL</v>
      </c>
      <c r="C277" t="str">
        <f>VLOOKUP(A277,Building!A:A,1,FALSE)</f>
        <v>SYCAMORE HALL</v>
      </c>
      <c r="D277" t="str">
        <f>VLOOKUP(A277,Distance!A:A,1,FALSE)</f>
        <v>SYCAMORE HALL</v>
      </c>
    </row>
    <row r="278" spans="1:4" x14ac:dyDescent="0.3">
      <c r="A278" t="s">
        <v>61</v>
      </c>
      <c r="B278" t="str">
        <f>VLOOKUP(A278,Enrollment!A:A,1,FALSE)</f>
        <v>EAST STUDIO BUILDING</v>
      </c>
      <c r="C278" t="str">
        <f>VLOOKUP(A278,Building!A:A,1,FALSE)</f>
        <v>EAST STUDIO BUILDING</v>
      </c>
      <c r="D278" t="str">
        <f>VLOOKUP(A278,Distance!A:A,1,FALSE)</f>
        <v>EAST STUDIO BUILDING</v>
      </c>
    </row>
    <row r="279" spans="1:4" x14ac:dyDescent="0.3">
      <c r="A279" t="s">
        <v>164</v>
      </c>
      <c r="B279" t="str">
        <f>VLOOKUP(A279,Enrollment!A:A,1,FALSE)</f>
        <v>IN MEMORIAL UNION</v>
      </c>
      <c r="C279" t="str">
        <f>VLOOKUP(A279,Building!A:A,1,FALSE)</f>
        <v>IN MEMORIAL UNION</v>
      </c>
      <c r="D279" t="str">
        <f>VLOOKUP(A279,Distance!A:A,1,FALSE)</f>
        <v>IN MEMORIAL UNION</v>
      </c>
    </row>
    <row r="280" spans="1:4" x14ac:dyDescent="0.3">
      <c r="A280" t="s">
        <v>109</v>
      </c>
      <c r="B280" t="str">
        <f>VLOOKUP(A280,Enrollment!A:A,1,FALSE)</f>
        <v>OPTOMETRY SCHOOL</v>
      </c>
      <c r="C280" t="str">
        <f>VLOOKUP(A280,Building!A:A,1,FALSE)</f>
        <v>OPTOMETRY SCHOOL</v>
      </c>
      <c r="D280" t="str">
        <f>VLOOKUP(A280,Distance!A:A,1,FALSE)</f>
        <v>OPTOMETRY SCHOOL</v>
      </c>
    </row>
    <row r="281" spans="1:4" x14ac:dyDescent="0.3">
      <c r="A281" t="s">
        <v>41</v>
      </c>
      <c r="B281" t="str">
        <f>VLOOKUP(A281,Enrollment!A:A,1,FALSE)</f>
        <v>4TH &amp; INDIANA-LEWIS BLDG</v>
      </c>
      <c r="C281" t="str">
        <f>VLOOKUP(A281,Building!A:A,1,FALSE)</f>
        <v>4TH &amp; INDIANA-LEWIS BLDG</v>
      </c>
      <c r="D281" t="str">
        <f>VLOOKUP(A281,Distance!A:A,1,FALSE)</f>
        <v>4TH &amp; INDIANA-LEWIS BLDG</v>
      </c>
    </row>
    <row r="282" spans="1:4" x14ac:dyDescent="0.3">
      <c r="A282" t="s">
        <v>278</v>
      </c>
      <c r="B282" t="e">
        <f>VLOOKUP(A282,Enrollment!A:A,1,FALSE)</f>
        <v>#N/A</v>
      </c>
      <c r="C282" t="str">
        <f>VLOOKUP(A282,Building!A:A,1,FALSE)</f>
        <v>HENDERSON PARKING GARAGE</v>
      </c>
      <c r="D282" t="str">
        <f>VLOOKUP(A282,Distance!A:A,1,FALSE)</f>
        <v>HENDERSON PARKING GARAGE</v>
      </c>
    </row>
    <row r="283" spans="1:4" x14ac:dyDescent="0.3">
      <c r="A283" t="s">
        <v>230</v>
      </c>
      <c r="B283" t="e">
        <f>VLOOKUP(A283,Enrollment!A:A,1,FALSE)</f>
        <v>#N/A</v>
      </c>
      <c r="C283" t="str">
        <f>VLOOKUP(A283,Building!A:A,1,FALSE)</f>
        <v>ROSE WELL HOUSE</v>
      </c>
      <c r="D283" t="str">
        <f>VLOOKUP(A283,Distance!A:A,1,FALSE)</f>
        <v>ROSE WELL HOUSE</v>
      </c>
    </row>
    <row r="284" spans="1:4" x14ac:dyDescent="0.3">
      <c r="A284" t="s">
        <v>101</v>
      </c>
      <c r="B284" t="str">
        <f>VLOOKUP(A284,Enrollment!A:A,1,FALSE)</f>
        <v>MORRISON HALL</v>
      </c>
      <c r="C284" t="str">
        <f>VLOOKUP(A284,Building!A:A,1,FALSE)</f>
        <v>MORRISON HALL</v>
      </c>
      <c r="D284" t="str">
        <f>VLOOKUP(A284,Distance!A:A,1,FALSE)</f>
        <v>MORRISON HALL</v>
      </c>
    </row>
    <row r="285" spans="1:4" x14ac:dyDescent="0.3">
      <c r="A285" t="s">
        <v>276</v>
      </c>
      <c r="B285" t="e">
        <f>VLOOKUP(A285,Enrollment!A:A,1,FALSE)</f>
        <v>#N/A</v>
      </c>
      <c r="C285" t="str">
        <f>VLOOKUP(A285,Building!A:A,1,FALSE)</f>
        <v>OWEN HALL</v>
      </c>
      <c r="D285" t="str">
        <f>VLOOKUP(A285,Distance!A:A,1,FALSE)</f>
        <v>OWEN HALL</v>
      </c>
    </row>
    <row r="286" spans="1:4" x14ac:dyDescent="0.3">
      <c r="A286" t="s">
        <v>194</v>
      </c>
      <c r="B286" t="e">
        <f>VLOOKUP(A286,Enrollment!A:A,1,FALSE)</f>
        <v>#N/A</v>
      </c>
      <c r="C286" t="str">
        <f>VLOOKUP(A286,Building!A:A,1,FALSE)</f>
        <v>215 N INDIANA AVE</v>
      </c>
      <c r="D286" t="str">
        <f>VLOOKUP(A286,Distance!A:A,1,FALSE)</f>
        <v>215 N INDIANA AVE</v>
      </c>
    </row>
    <row r="287" spans="1:4" x14ac:dyDescent="0.3">
      <c r="A287" t="s">
        <v>178</v>
      </c>
      <c r="B287" t="str">
        <f>VLOOKUP(A287,Enrollment!A:A,1,FALSE)</f>
        <v>814 E 3RD ST</v>
      </c>
      <c r="C287" t="str">
        <f>VLOOKUP(A287,Building!A:A,1,FALSE)</f>
        <v>814 E 3RD ST</v>
      </c>
      <c r="D287" t="str">
        <f>VLOOKUP(A287,Distance!A:A,1,FALSE)</f>
        <v>814 E 3RD ST</v>
      </c>
    </row>
    <row r="288" spans="1:4" x14ac:dyDescent="0.3">
      <c r="A288" t="s">
        <v>188</v>
      </c>
      <c r="B288" t="e">
        <f>VLOOKUP(A288,Enrollment!A:A,1,FALSE)</f>
        <v>#N/A</v>
      </c>
      <c r="C288" t="str">
        <f>VLOOKUP(A288,Building!A:A,1,FALSE)</f>
        <v>CARMICHAEL CENTER</v>
      </c>
      <c r="D288" t="str">
        <f>VLOOKUP(A288,Distance!A:A,1,FALSE)</f>
        <v>CARMICHAEL CENTER</v>
      </c>
    </row>
    <row r="289" spans="1:4" x14ac:dyDescent="0.3">
      <c r="A289" t="s">
        <v>220</v>
      </c>
      <c r="B289" t="e">
        <f>VLOOKUP(A289,Enrollment!A:A,1,FALSE)</f>
        <v>#N/A</v>
      </c>
      <c r="C289" t="str">
        <f>VLOOKUP(A289,Building!A:A,1,FALSE)</f>
        <v>528 E 7TH ST</v>
      </c>
      <c r="D289" t="str">
        <f>VLOOKUP(A289,Distance!A:A,1,FALSE)</f>
        <v>528 E 7TH ST</v>
      </c>
    </row>
    <row r="290" spans="1:4" x14ac:dyDescent="0.3">
      <c r="A290" t="s">
        <v>520</v>
      </c>
      <c r="B290" t="e">
        <f>VLOOKUP(A290,Enrollment!A:A,1,FALSE)</f>
        <v>#N/A</v>
      </c>
      <c r="C290" t="str">
        <f>VLOOKUP(A290,Building!A:A,1,FALSE)</f>
        <v>1105 E ATWATER AVE</v>
      </c>
      <c r="D290" t="str">
        <f>VLOOKUP(A290,Distance!A:A,1,FALSE)</f>
        <v>1105 E ATWATER AVE</v>
      </c>
    </row>
    <row r="291" spans="1:4" x14ac:dyDescent="0.3">
      <c r="A291" t="s">
        <v>532</v>
      </c>
      <c r="B291" t="e">
        <f>VLOOKUP(A291,Enrollment!A:A,1,FALSE)</f>
        <v>#N/A</v>
      </c>
      <c r="C291" t="str">
        <f>VLOOKUP(A291,Building!A:A,1,FALSE)</f>
        <v>1212 E ATWATER AVE</v>
      </c>
      <c r="D291" t="str">
        <f>VLOOKUP(A291,Distance!A:A,1,FALSE)</f>
        <v>1212 E ATWATER AVE</v>
      </c>
    </row>
    <row r="292" spans="1:4" x14ac:dyDescent="0.3">
      <c r="A292" t="s">
        <v>290</v>
      </c>
      <c r="B292" t="e">
        <f>VLOOKUP(A292,Enrollment!A:A,1,FALSE)</f>
        <v>#N/A</v>
      </c>
      <c r="C292" t="str">
        <f>VLOOKUP(A292,Building!A:A,1,FALSE)</f>
        <v>MAC MACHINE ROOM 100</v>
      </c>
      <c r="D292" t="str">
        <f>VLOOKUP(A292,Distance!A:A,1,FALSE)</f>
        <v>MAC MACHINE ROOM 100</v>
      </c>
    </row>
    <row r="293" spans="1:4" x14ac:dyDescent="0.3">
      <c r="A293" t="s">
        <v>191</v>
      </c>
      <c r="B293" t="e">
        <f>VLOOKUP(A293,Enrollment!A:A,1,FALSE)</f>
        <v>#N/A</v>
      </c>
      <c r="C293" t="str">
        <f>VLOOKUP(A293,Building!A:A,1,FALSE)</f>
        <v>CTR REP GOVERNMENT</v>
      </c>
      <c r="D293" t="str">
        <f>VLOOKUP(A293,Distance!A:A,1,FALSE)</f>
        <v>CTR REP GOVERNMENT</v>
      </c>
    </row>
    <row r="294" spans="1:4" x14ac:dyDescent="0.3">
      <c r="A294" t="s">
        <v>190</v>
      </c>
      <c r="B294" t="e">
        <f>VLOOKUP(A294,Enrollment!A:A,1,FALSE)</f>
        <v>#N/A</v>
      </c>
      <c r="C294" t="str">
        <f>VLOOKUP(A294,Building!A:A,1,FALSE)</f>
        <v>POPLARS PARKING</v>
      </c>
      <c r="D294" t="str">
        <f>VLOOKUP(A294,Distance!A:A,1,FALSE)</f>
        <v>POPLARS PARKING</v>
      </c>
    </row>
    <row r="295" spans="1:4" x14ac:dyDescent="0.3">
      <c r="A295" t="s">
        <v>337</v>
      </c>
      <c r="B295" t="e">
        <f>VLOOKUP(A295,Enrollment!A:A,1,FALSE)</f>
        <v>#N/A</v>
      </c>
      <c r="C295" t="str">
        <f>VLOOKUP(A295,Building!A:A,1,FALSE)</f>
        <v>3RD &amp; UNION APARTMENTS</v>
      </c>
      <c r="D295" t="str">
        <f>VLOOKUP(A295,Distance!A:A,1,FALSE)</f>
        <v>3RD &amp; UNION APARTMENTS</v>
      </c>
    </row>
    <row r="296" spans="1:4" x14ac:dyDescent="0.3">
      <c r="A296" t="s">
        <v>71</v>
      </c>
      <c r="B296" t="str">
        <f>VLOOKUP(A296,Enrollment!A:A,1,FALSE)</f>
        <v>FOREST QUAD</v>
      </c>
      <c r="C296" t="str">
        <f>VLOOKUP(A296,Building!A:A,1,FALSE)</f>
        <v>FOREST QUAD</v>
      </c>
      <c r="D296" t="str">
        <f>VLOOKUP(A296,Distance!A:A,1,FALSE)</f>
        <v>FOREST QUAD</v>
      </c>
    </row>
    <row r="297" spans="1:4" x14ac:dyDescent="0.3">
      <c r="A297" t="s">
        <v>361</v>
      </c>
      <c r="B297" t="e">
        <f>VLOOKUP(A297,Enrollment!A:A,1,FALSE)</f>
        <v>#N/A</v>
      </c>
      <c r="C297" t="str">
        <f>VLOOKUP(A297,Building!A:A,1,FALSE)</f>
        <v>111 N BRYAN AVE</v>
      </c>
      <c r="D297" t="str">
        <f>VLOOKUP(A297,Distance!A:A,1,FALSE)</f>
        <v>111 N BRYAN AVE</v>
      </c>
    </row>
    <row r="298" spans="1:4" x14ac:dyDescent="0.3">
      <c r="A298" t="s">
        <v>115</v>
      </c>
      <c r="B298" t="str">
        <f>VLOOKUP(A298,Enrollment!A:A,1,FALSE)</f>
        <v>READ HALL</v>
      </c>
      <c r="C298" t="str">
        <f>VLOOKUP(A298,Building!A:A,1,FALSE)</f>
        <v>READ HALL</v>
      </c>
      <c r="D298" t="str">
        <f>VLOOKUP(A298,Distance!A:A,1,FALSE)</f>
        <v>READ HALL</v>
      </c>
    </row>
    <row r="299" spans="1:4" x14ac:dyDescent="0.3">
      <c r="A299" t="s">
        <v>15</v>
      </c>
      <c r="B299" t="str">
        <f>VLOOKUP(A299,Enrollment!A:A,1,FALSE)</f>
        <v>SPRUCE HALL</v>
      </c>
      <c r="C299" t="str">
        <f>VLOOKUP(A299,Building!A:A,1,FALSE)</f>
        <v>SPRUCE HALL</v>
      </c>
      <c r="D299" t="str">
        <f>VLOOKUP(A299,Distance!A:A,1,FALSE)</f>
        <v>SPRUCE HALL</v>
      </c>
    </row>
    <row r="300" spans="1:4" x14ac:dyDescent="0.3">
      <c r="A300" t="s">
        <v>457</v>
      </c>
      <c r="B300" t="e">
        <f>VLOOKUP(A300,Enrollment!A:A,1,FALSE)</f>
        <v>#N/A</v>
      </c>
      <c r="C300" t="str">
        <f>VLOOKUP(A300,Building!A:A,1,FALSE)</f>
        <v>LANDSCAPE SRV 1</v>
      </c>
      <c r="D300" t="str">
        <f>VLOOKUP(A300,Distance!A:A,1,FALSE)</f>
        <v>LANDSCAPE SRV 1</v>
      </c>
    </row>
    <row r="301" spans="1:4" x14ac:dyDescent="0.3">
      <c r="A301" t="s">
        <v>306</v>
      </c>
      <c r="B301" t="e">
        <f>VLOOKUP(A301,Enrollment!A:A,1,FALSE)</f>
        <v>#N/A</v>
      </c>
      <c r="C301" t="str">
        <f>VLOOKUP(A301,Building!A:A,1,FALSE)</f>
        <v>1610 E 3RD ST GARAGE</v>
      </c>
      <c r="D301" t="str">
        <f>VLOOKUP(A301,Distance!A:A,1,FALSE)</f>
        <v>1610 E 3RD ST GARAGE</v>
      </c>
    </row>
    <row r="302" spans="1:4" x14ac:dyDescent="0.3">
      <c r="A302" t="s">
        <v>300</v>
      </c>
      <c r="B302" t="e">
        <f>VLOOKUP(A302,Enrollment!A:A,1,FALSE)</f>
        <v>#N/A</v>
      </c>
      <c r="C302" t="str">
        <f>VLOOKUP(A302,Building!A:A,1,FALSE)</f>
        <v>315 S MITCHELL ST</v>
      </c>
      <c r="D302" t="str">
        <f>VLOOKUP(A302,Distance!A:A,1,FALSE)</f>
        <v>315 S MITCHELL ST</v>
      </c>
    </row>
    <row r="303" spans="1:4" x14ac:dyDescent="0.3">
      <c r="A303" t="s">
        <v>348</v>
      </c>
      <c r="B303" t="e">
        <f>VLOOKUP(A303,Enrollment!A:A,1,FALSE)</f>
        <v>#N/A</v>
      </c>
      <c r="C303" t="str">
        <f>VLOOKUP(A303,Building!A:A,1,FALSE)</f>
        <v>117 S UNION ST</v>
      </c>
      <c r="D303" t="str">
        <f>VLOOKUP(A303,Distance!A:A,1,FALSE)</f>
        <v>117 S UNION ST</v>
      </c>
    </row>
    <row r="304" spans="1:4" x14ac:dyDescent="0.3">
      <c r="A304" t="s">
        <v>292</v>
      </c>
      <c r="B304" t="e">
        <f>VLOOKUP(A304,Enrollment!A:A,1,FALSE)</f>
        <v>#N/A</v>
      </c>
      <c r="C304" t="str">
        <f>VLOOKUP(A304,Building!A:A,1,FALSE)</f>
        <v>ESKENAZI SCHL / MIES VAN DER ROHE BLDG</v>
      </c>
      <c r="D304" t="str">
        <f>VLOOKUP(A304,Distance!A:A,1,FALSE)</f>
        <v>ESKENAZI SCHL / MIES VAN DER ROHE BLDG</v>
      </c>
    </row>
    <row r="305" spans="1:4" x14ac:dyDescent="0.3">
      <c r="A305" t="s">
        <v>316</v>
      </c>
      <c r="B305" t="e">
        <f>VLOOKUP(A305,Enrollment!A:A,1,FALSE)</f>
        <v>#N/A</v>
      </c>
      <c r="C305" t="str">
        <f>VLOOKUP(A305,Building!A:A,1,FALSE)</f>
        <v>BIRCH HALL</v>
      </c>
      <c r="D305" t="str">
        <f>VLOOKUP(A305,Distance!A:A,1,FALSE)</f>
        <v>BIRCH HALL</v>
      </c>
    </row>
    <row r="306" spans="1:4" x14ac:dyDescent="0.3">
      <c r="A306" t="s">
        <v>325</v>
      </c>
      <c r="B306" t="e">
        <f>VLOOKUP(A306,Enrollment!A:A,1,FALSE)</f>
        <v>#N/A</v>
      </c>
      <c r="C306" t="str">
        <f>VLOOKUP(A306,Building!A:A,1,FALSE)</f>
        <v>STEMPEL HALL</v>
      </c>
      <c r="D306" t="str">
        <f>VLOOKUP(A306,Distance!A:A,1,FALSE)</f>
        <v>STEMPEL HALL</v>
      </c>
    </row>
    <row r="307" spans="1:4" x14ac:dyDescent="0.3">
      <c r="A307" t="s">
        <v>338</v>
      </c>
      <c r="B307" t="e">
        <f>VLOOKUP(A307,Enrollment!A:A,1,FALSE)</f>
        <v>#N/A</v>
      </c>
      <c r="C307" t="str">
        <f>VLOOKUP(A307,Building!A:A,1,FALSE)</f>
        <v>WILLKIE B</v>
      </c>
      <c r="D307" t="str">
        <f>VLOOKUP(A307,Distance!A:A,1,FALSE)</f>
        <v>WILLKIE B</v>
      </c>
    </row>
    <row r="308" spans="1:4" x14ac:dyDescent="0.3">
      <c r="A308" t="s">
        <v>141</v>
      </c>
      <c r="B308" t="str">
        <f>VLOOKUP(A308,Enrollment!A:A,1,FALSE)</f>
        <v>WRIGHT QUAD</v>
      </c>
      <c r="C308" t="str">
        <f>VLOOKUP(A308,Building!A:A,1,FALSE)</f>
        <v>WRIGHT QUAD</v>
      </c>
      <c r="D308" t="str">
        <f>VLOOKUP(A308,Distance!A:A,1,FALSE)</f>
        <v>WRIGHT QUAD</v>
      </c>
    </row>
    <row r="309" spans="1:4" x14ac:dyDescent="0.3">
      <c r="A309" t="s">
        <v>312</v>
      </c>
      <c r="B309" t="e">
        <f>VLOOKUP(A309,Enrollment!A:A,1,FALSE)</f>
        <v>#N/A</v>
      </c>
      <c r="C309" t="str">
        <f>VLOOKUP(A309,Building!A:A,1,FALSE)</f>
        <v>HERSHEY HALL</v>
      </c>
      <c r="D309" t="str">
        <f>VLOOKUP(A309,Distance!A:A,1,FALSE)</f>
        <v>HERSHEY HALL</v>
      </c>
    </row>
    <row r="310" spans="1:4" x14ac:dyDescent="0.3">
      <c r="A310" t="s">
        <v>342</v>
      </c>
      <c r="B310" t="e">
        <f>VLOOKUP(A310,Enrollment!A:A,1,FALSE)</f>
        <v>#N/A</v>
      </c>
      <c r="C310" t="str">
        <f>VLOOKUP(A310,Building!A:A,1,FALSE)</f>
        <v>2045 E 7TH ST</v>
      </c>
      <c r="D310" t="str">
        <f>VLOOKUP(A310,Distance!A:A,1,FALSE)</f>
        <v>2045 E 7TH ST</v>
      </c>
    </row>
    <row r="311" spans="1:4" x14ac:dyDescent="0.3">
      <c r="A311" t="s">
        <v>295</v>
      </c>
      <c r="B311" t="e">
        <f>VLOOKUP(A311,Enrollment!A:A,1,FALSE)</f>
        <v>#N/A</v>
      </c>
      <c r="C311" t="str">
        <f>VLOOKUP(A311,Building!A:A,1,FALSE)</f>
        <v>EAST PARKING GARAGE</v>
      </c>
      <c r="D311" t="str">
        <f>VLOOKUP(A311,Distance!A:A,1,FALSE)</f>
        <v>EAST PARKING GARAGE</v>
      </c>
    </row>
    <row r="312" spans="1:4" x14ac:dyDescent="0.3">
      <c r="A312" t="s">
        <v>603</v>
      </c>
      <c r="B312" t="e">
        <f>VLOOKUP(A312,Enrollment!A:A,1,FALSE)</f>
        <v>#N/A</v>
      </c>
      <c r="C312" t="str">
        <f>VLOOKUP(A312,Building!A:A,1,FALSE)</f>
        <v>FERGUSON INTERNATIONAL CENTER</v>
      </c>
      <c r="D312" t="str">
        <f>VLOOKUP(A312,Distance!A:A,1,FALSE)</f>
        <v>FERGUSON INTERNATIONAL CENTER</v>
      </c>
    </row>
    <row r="313" spans="1:4" x14ac:dyDescent="0.3">
      <c r="A313" t="s">
        <v>326</v>
      </c>
      <c r="B313" t="e">
        <f>VLOOKUP(A313,Enrollment!A:A,1,FALSE)</f>
        <v>#N/A</v>
      </c>
      <c r="C313" t="str">
        <f>VLOOKUP(A313,Building!A:A,1,FALSE)</f>
        <v>BARNES LOUNGE</v>
      </c>
      <c r="D313" t="str">
        <f>VLOOKUP(A313,Distance!A:A,1,FALSE)</f>
        <v>BARNES LOUNGE</v>
      </c>
    </row>
    <row r="314" spans="1:4" x14ac:dyDescent="0.3">
      <c r="A314" t="s">
        <v>321</v>
      </c>
      <c r="B314" t="e">
        <f>VLOOKUP(A314,Enrollment!A:A,1,FALSE)</f>
        <v>#N/A</v>
      </c>
      <c r="C314" t="str">
        <f>VLOOKUP(A314,Building!A:A,1,FALSE)</f>
        <v>UNION ST CHILLER</v>
      </c>
      <c r="D314" t="str">
        <f>VLOOKUP(A314,Distance!A:A,1,FALSE)</f>
        <v>UNION ST CHILLER</v>
      </c>
    </row>
    <row r="315" spans="1:4" x14ac:dyDescent="0.3">
      <c r="A315" t="s">
        <v>307</v>
      </c>
      <c r="B315" t="e">
        <f>VLOOKUP(A315,Enrollment!A:A,1,FALSE)</f>
        <v>#N/A</v>
      </c>
      <c r="C315" t="str">
        <f>VLOOKUP(A315,Building!A:A,1,FALSE)</f>
        <v>1708 E 3RD ST</v>
      </c>
      <c r="D315" t="str">
        <f>VLOOKUP(A315,Distance!A:A,1,FALSE)</f>
        <v>1708 E 3RD ST</v>
      </c>
    </row>
    <row r="316" spans="1:4" x14ac:dyDescent="0.3">
      <c r="A316" t="s">
        <v>314</v>
      </c>
      <c r="B316" t="e">
        <f>VLOOKUP(A316,Enrollment!A:A,1,FALSE)</f>
        <v>#N/A</v>
      </c>
      <c r="C316" t="str">
        <f>VLOOKUP(A316,Building!A:A,1,FALSE)</f>
        <v>VOS HALL</v>
      </c>
      <c r="D316" t="str">
        <f>VLOOKUP(A316,Distance!A:A,1,FALSE)</f>
        <v>VOS HALL</v>
      </c>
    </row>
    <row r="317" spans="1:4" x14ac:dyDescent="0.3">
      <c r="A317" t="s">
        <v>299</v>
      </c>
      <c r="B317" t="e">
        <f>VLOOKUP(A317,Enrollment!A:A,1,FALSE)</f>
        <v>#N/A</v>
      </c>
      <c r="C317" t="str">
        <f>VLOOKUP(A317,Building!A:A,1,FALSE)</f>
        <v>330 S EASTSIDE DR</v>
      </c>
      <c r="D317" t="str">
        <f>VLOOKUP(A317,Distance!A:A,1,FALSE)</f>
        <v>330 S EASTSIDE DR</v>
      </c>
    </row>
    <row r="318" spans="1:4" x14ac:dyDescent="0.3">
      <c r="A318" t="s">
        <v>304</v>
      </c>
      <c r="B318" t="e">
        <f>VLOOKUP(A318,Enrollment!A:A,1,FALSE)</f>
        <v>#N/A</v>
      </c>
      <c r="C318" t="str">
        <f>VLOOKUP(A318,Building!A:A,1,FALSE)</f>
        <v>1600 E 3RD ST</v>
      </c>
      <c r="D318" t="str">
        <f>VLOOKUP(A318,Distance!A:A,1,FALSE)</f>
        <v>1600 E 3RD ST</v>
      </c>
    </row>
    <row r="319" spans="1:4" x14ac:dyDescent="0.3">
      <c r="A319" t="s">
        <v>140</v>
      </c>
      <c r="B319" t="str">
        <f>VLOOKUP(A319,Enrollment!A:A,1,FALSE)</f>
        <v>WILLKIE C</v>
      </c>
      <c r="C319" t="str">
        <f>VLOOKUP(A319,Building!A:A,1,FALSE)</f>
        <v>WILLKIE C</v>
      </c>
      <c r="D319" t="str">
        <f>VLOOKUP(A319,Distance!A:A,1,FALSE)</f>
        <v>WILLKIE C</v>
      </c>
    </row>
    <row r="320" spans="1:4" x14ac:dyDescent="0.3">
      <c r="A320" t="s">
        <v>126</v>
      </c>
      <c r="B320" t="str">
        <f>VLOOKUP(A320,Enrollment!A:A,1,FALSE)</f>
        <v>STUDENT SERVICES</v>
      </c>
      <c r="C320" t="str">
        <f>VLOOKUP(A320,Building!A:A,1,FALSE)</f>
        <v>STUDENT SERVICES</v>
      </c>
      <c r="D320" t="str">
        <f>VLOOKUP(A320,Distance!A:A,1,FALSE)</f>
        <v>STUDENT SERVICES</v>
      </c>
    </row>
    <row r="321" spans="1:4" x14ac:dyDescent="0.3">
      <c r="A321" t="s">
        <v>339</v>
      </c>
      <c r="B321" t="e">
        <f>VLOOKUP(A321,Enrollment!A:A,1,FALSE)</f>
        <v>#N/A</v>
      </c>
      <c r="C321" t="str">
        <f>VLOOKUP(A321,Building!A:A,1,FALSE)</f>
        <v>WILLKIE A</v>
      </c>
      <c r="D321" t="str">
        <f>VLOOKUP(A321,Distance!A:A,1,FALSE)</f>
        <v>WILLKIE A</v>
      </c>
    </row>
    <row r="322" spans="1:4" x14ac:dyDescent="0.3">
      <c r="A322" t="s">
        <v>327</v>
      </c>
      <c r="B322" t="e">
        <f>VLOOKUP(A322,Enrollment!A:A,1,FALSE)</f>
        <v>#N/A</v>
      </c>
      <c r="C322" t="str">
        <f>VLOOKUP(A322,Building!A:A,1,FALSE)</f>
        <v>209 S UNION ST</v>
      </c>
      <c r="D322" t="str">
        <f>VLOOKUP(A322,Distance!A:A,1,FALSE)</f>
        <v>209 S UNION ST</v>
      </c>
    </row>
    <row r="323" spans="1:4" x14ac:dyDescent="0.3">
      <c r="A323" t="s">
        <v>344</v>
      </c>
      <c r="B323" t="e">
        <f>VLOOKUP(A323,Enrollment!A:A,1,FALSE)</f>
        <v>#N/A</v>
      </c>
      <c r="C323" t="str">
        <f>VLOOKUP(A323,Building!A:A,1,FALSE)</f>
        <v>318 N UNION GARAGE</v>
      </c>
      <c r="D323" t="str">
        <f>VLOOKUP(A323,Distance!A:A,1,FALSE)</f>
        <v>318 N UNION GARAGE</v>
      </c>
    </row>
    <row r="324" spans="1:4" x14ac:dyDescent="0.3">
      <c r="A324" t="s">
        <v>460</v>
      </c>
      <c r="B324" t="e">
        <f>VLOOKUP(A324,Enrollment!A:A,1,FALSE)</f>
        <v>#N/A</v>
      </c>
      <c r="C324" t="str">
        <f>VLOOKUP(A324,Building!A:A,1,FALSE)</f>
        <v>MOBILE OFFICE</v>
      </c>
      <c r="D324" t="str">
        <f>VLOOKUP(A324,Distance!A:A,1,FALSE)</f>
        <v>MOBILE OFFICE</v>
      </c>
    </row>
    <row r="325" spans="1:4" x14ac:dyDescent="0.3">
      <c r="A325" t="s">
        <v>310</v>
      </c>
      <c r="B325" t="e">
        <f>VLOOKUP(A325,Enrollment!A:A,1,FALSE)</f>
        <v>#N/A</v>
      </c>
      <c r="C325" t="str">
        <f>VLOOKUP(A325,Building!A:A,1,FALSE)</f>
        <v>FOREST QUAD CHILLER</v>
      </c>
      <c r="D325" t="str">
        <f>VLOOKUP(A325,Distance!A:A,1,FALSE)</f>
        <v>FOREST QUAD CHILLER</v>
      </c>
    </row>
    <row r="326" spans="1:4" x14ac:dyDescent="0.3">
      <c r="A326" t="s">
        <v>330</v>
      </c>
      <c r="B326" t="e">
        <f>VLOOKUP(A326,Enrollment!A:A,1,FALSE)</f>
        <v>#N/A</v>
      </c>
      <c r="C326" t="str">
        <f>VLOOKUP(A326,Building!A:A,1,FALSE)</f>
        <v>1902 E 3RD ST</v>
      </c>
      <c r="D326" t="str">
        <f>VLOOKUP(A326,Distance!A:A,1,FALSE)</f>
        <v>1902 E 3RD ST</v>
      </c>
    </row>
    <row r="327" spans="1:4" x14ac:dyDescent="0.3">
      <c r="A327" t="s">
        <v>345</v>
      </c>
      <c r="B327" t="e">
        <f>VLOOKUP(A327,Enrollment!A:A,1,FALSE)</f>
        <v>#N/A</v>
      </c>
      <c r="C327" t="str">
        <f>VLOOKUP(A327,Building!A:A,1,FALSE)</f>
        <v>306 N UNION ST</v>
      </c>
      <c r="D327" t="str">
        <f>VLOOKUP(A327,Distance!A:A,1,FALSE)</f>
        <v>306 N UNION ST</v>
      </c>
    </row>
    <row r="328" spans="1:4" x14ac:dyDescent="0.3">
      <c r="A328" t="s">
        <v>319</v>
      </c>
      <c r="B328" t="e">
        <f>VLOOKUP(A328,Enrollment!A:A,1,FALSE)</f>
        <v>#N/A</v>
      </c>
      <c r="C328" t="str">
        <f>VLOOKUP(A328,Building!A:A,1,FALSE)</f>
        <v>BEECH HALL</v>
      </c>
      <c r="D328" t="str">
        <f>VLOOKUP(A328,Distance!A:A,1,FALSE)</f>
        <v>BEECH HALL</v>
      </c>
    </row>
    <row r="329" spans="1:4" x14ac:dyDescent="0.3">
      <c r="A329" t="s">
        <v>301</v>
      </c>
      <c r="B329" t="e">
        <f>VLOOKUP(A329,Enrollment!A:A,1,FALSE)</f>
        <v>#N/A</v>
      </c>
      <c r="C329" t="str">
        <f>VLOOKUP(A329,Building!A:A,1,FALSE)</f>
        <v>319 S MITCHELL ST</v>
      </c>
      <c r="D329" t="str">
        <f>VLOOKUP(A329,Distance!A:A,1,FALSE)</f>
        <v>319 S MITCHELL ST</v>
      </c>
    </row>
    <row r="330" spans="1:4" x14ac:dyDescent="0.3">
      <c r="A330" t="s">
        <v>328</v>
      </c>
      <c r="B330" t="e">
        <f>VLOOKUP(A330,Enrollment!A:A,1,FALSE)</f>
        <v>#N/A</v>
      </c>
      <c r="C330" t="str">
        <f>VLOOKUP(A330,Building!A:A,1,FALSE)</f>
        <v>211 S UNION ST</v>
      </c>
      <c r="D330" t="str">
        <f>VLOOKUP(A330,Distance!A:A,1,FALSE)</f>
        <v>211 S UNION ST</v>
      </c>
    </row>
    <row r="331" spans="1:4" x14ac:dyDescent="0.3">
      <c r="A331" t="s">
        <v>17</v>
      </c>
      <c r="B331" t="str">
        <f>VLOOKUP(A331,Enrollment!A:A,1,FALSE)</f>
        <v>WENDELL W. WRIGHT</v>
      </c>
      <c r="C331" t="str">
        <f>VLOOKUP(A331,Building!A:A,1,FALSE)</f>
        <v>WENDELL W. WRIGHT</v>
      </c>
      <c r="D331" t="str">
        <f>VLOOKUP(A331,Distance!A:A,1,FALSE)</f>
        <v>WENDELL W. WRIGHT</v>
      </c>
    </row>
    <row r="332" spans="1:4" x14ac:dyDescent="0.3">
      <c r="A332" t="s">
        <v>302</v>
      </c>
      <c r="B332" t="e">
        <f>VLOOKUP(A332,Enrollment!A:A,1,FALSE)</f>
        <v>#N/A</v>
      </c>
      <c r="C332" t="str">
        <f>VLOOKUP(A332,Building!A:A,1,FALSE)</f>
        <v>UNIVERSITY APT EAST</v>
      </c>
      <c r="D332" t="str">
        <f>VLOOKUP(A332,Distance!A:A,1,FALSE)</f>
        <v>UNIVERSITY APT EAST</v>
      </c>
    </row>
    <row r="333" spans="1:4" x14ac:dyDescent="0.3">
      <c r="A333" t="s">
        <v>357</v>
      </c>
      <c r="B333" t="e">
        <f>VLOOKUP(A333,Enrollment!A:A,1,FALSE)</f>
        <v>#N/A</v>
      </c>
      <c r="C333" t="str">
        <f>VLOOKUP(A333,Building!A:A,1,FALSE)</f>
        <v>113 N BRYAN AVE</v>
      </c>
      <c r="D333" t="str">
        <f>VLOOKUP(A333,Distance!A:A,1,FALSE)</f>
        <v>113 N BRYAN AVE</v>
      </c>
    </row>
    <row r="334" spans="1:4" x14ac:dyDescent="0.3">
      <c r="A334" t="s">
        <v>360</v>
      </c>
      <c r="B334" t="e">
        <f>VLOOKUP(A334,Enrollment!A:A,1,FALSE)</f>
        <v>#N/A</v>
      </c>
      <c r="C334" t="str">
        <f>VLOOKUP(A334,Building!A:A,1,FALSE)</f>
        <v>AMERICAN HISTORIANS-RAINTREE HOUSE</v>
      </c>
      <c r="D334" t="str">
        <f>VLOOKUP(A334,Distance!A:A,1,FALSE)</f>
        <v>AMERICAN HISTORIANS-RAINTREE HOUSE</v>
      </c>
    </row>
    <row r="335" spans="1:4" x14ac:dyDescent="0.3">
      <c r="A335" t="s">
        <v>343</v>
      </c>
      <c r="B335" t="e">
        <f>VLOOKUP(A335,Enrollment!A:A,1,FALSE)</f>
        <v>#N/A</v>
      </c>
      <c r="C335" t="str">
        <f>VLOOKUP(A335,Building!A:A,1,FALSE)</f>
        <v>318 N UNION ST</v>
      </c>
      <c r="D335" t="str">
        <f>VLOOKUP(A335,Distance!A:A,1,FALSE)</f>
        <v>318 N UNION ST</v>
      </c>
    </row>
    <row r="336" spans="1:4" x14ac:dyDescent="0.3">
      <c r="A336" t="s">
        <v>293</v>
      </c>
      <c r="B336" t="e">
        <f>VLOOKUP(A336,Enrollment!A:A,1,FALSE)</f>
        <v>#N/A</v>
      </c>
      <c r="C336" t="str">
        <f>VLOOKUP(A336,Building!A:A,1,FALSE)</f>
        <v>316 N EAGLESON AVE</v>
      </c>
      <c r="D336" t="str">
        <f>VLOOKUP(A336,Distance!A:A,1,FALSE)</f>
        <v>316 N EAGLESON AVE</v>
      </c>
    </row>
    <row r="337" spans="1:4" x14ac:dyDescent="0.3">
      <c r="A337" t="s">
        <v>359</v>
      </c>
      <c r="B337" t="e">
        <f>VLOOKUP(A337,Enrollment!A:A,1,FALSE)</f>
        <v>#N/A</v>
      </c>
      <c r="C337" t="str">
        <f>VLOOKUP(A337,Building!A:A,1,FALSE)</f>
        <v>121 N BRYAN AVE</v>
      </c>
      <c r="D337" t="str">
        <f>VLOOKUP(A337,Distance!A:A,1,FALSE)</f>
        <v>121 N BRYAN AVE</v>
      </c>
    </row>
    <row r="338" spans="1:4" x14ac:dyDescent="0.3">
      <c r="A338" t="s">
        <v>317</v>
      </c>
      <c r="B338" t="e">
        <f>VLOOKUP(A338,Enrollment!A:A,1,FALSE)</f>
        <v>#N/A</v>
      </c>
      <c r="C338" t="str">
        <f>VLOOKUP(A338,Building!A:A,1,FALSE)</f>
        <v>LINDEN HALL</v>
      </c>
      <c r="D338" t="str">
        <f>VLOOKUP(A338,Distance!A:A,1,FALSE)</f>
        <v>LINDEN HALL</v>
      </c>
    </row>
    <row r="339" spans="1:4" x14ac:dyDescent="0.3">
      <c r="A339" t="s">
        <v>303</v>
      </c>
      <c r="B339" t="e">
        <f>VLOOKUP(A339,Enrollment!A:A,1,FALSE)</f>
        <v>#N/A</v>
      </c>
      <c r="C339" t="str">
        <f>VLOOKUP(A339,Building!A:A,1,FALSE)</f>
        <v>1514 E 3RD ST</v>
      </c>
      <c r="D339" t="str">
        <f>VLOOKUP(A339,Distance!A:A,1,FALSE)</f>
        <v>1514 E 3RD ST</v>
      </c>
    </row>
    <row r="340" spans="1:4" x14ac:dyDescent="0.3">
      <c r="A340" t="s">
        <v>130</v>
      </c>
      <c r="B340" t="str">
        <f>VLOOKUP(A340,Enrollment!A:A,1,FALSE)</f>
        <v>TETER QUAD</v>
      </c>
      <c r="C340" t="str">
        <f>VLOOKUP(A340,Building!A:A,1,FALSE)</f>
        <v>TETER QUAD</v>
      </c>
      <c r="D340" t="str">
        <f>VLOOKUP(A340,Distance!A:A,1,FALSE)</f>
        <v>TETER QUAD</v>
      </c>
    </row>
    <row r="341" spans="1:4" x14ac:dyDescent="0.3">
      <c r="A341" t="s">
        <v>305</v>
      </c>
      <c r="B341" t="e">
        <f>VLOOKUP(A341,Enrollment!A:A,1,FALSE)</f>
        <v>#N/A</v>
      </c>
      <c r="C341" t="str">
        <f>VLOOKUP(A341,Building!A:A,1,FALSE)</f>
        <v>1610 E 3RD ST</v>
      </c>
      <c r="D341" t="str">
        <f>VLOOKUP(A341,Distance!A:A,1,FALSE)</f>
        <v>1610 E 3RD ST</v>
      </c>
    </row>
    <row r="342" spans="1:4" x14ac:dyDescent="0.3">
      <c r="A342" t="s">
        <v>358</v>
      </c>
      <c r="B342" t="e">
        <f>VLOOKUP(A342,Enrollment!A:A,1,FALSE)</f>
        <v>#N/A</v>
      </c>
      <c r="C342" t="str">
        <f>VLOOKUP(A342,Building!A:A,1,FALSE)</f>
        <v>120 N BRYAN AVE</v>
      </c>
      <c r="D342" t="str">
        <f>VLOOKUP(A342,Distance!A:A,1,FALSE)</f>
        <v>120 N BRYAN AVE</v>
      </c>
    </row>
    <row r="343" spans="1:4" x14ac:dyDescent="0.3">
      <c r="A343" t="s">
        <v>340</v>
      </c>
      <c r="B343" t="e">
        <f>VLOOKUP(A343,Enrollment!A:A,1,FALSE)</f>
        <v>#N/A</v>
      </c>
      <c r="C343" t="str">
        <f>VLOOKUP(A343,Building!A:A,1,FALSE)</f>
        <v>MASON HALL</v>
      </c>
      <c r="D343" t="str">
        <f>VLOOKUP(A343,Distance!A:A,1,FALSE)</f>
        <v>MASON HALL</v>
      </c>
    </row>
    <row r="344" spans="1:4" x14ac:dyDescent="0.3">
      <c r="A344" t="s">
        <v>311</v>
      </c>
      <c r="B344" t="e">
        <f>VLOOKUP(A344,Enrollment!A:A,1,FALSE)</f>
        <v>#N/A</v>
      </c>
      <c r="C344" t="str">
        <f>VLOOKUP(A344,Building!A:A,1,FALSE)</f>
        <v>1812 E 3RD ST</v>
      </c>
      <c r="D344" t="str">
        <f>VLOOKUP(A344,Distance!A:A,1,FALSE)</f>
        <v>1812 E 3RD ST</v>
      </c>
    </row>
    <row r="345" spans="1:4" x14ac:dyDescent="0.3">
      <c r="A345" t="s">
        <v>534</v>
      </c>
      <c r="B345" t="e">
        <f>VLOOKUP(A345,Enrollment!A:A,1,FALSE)</f>
        <v>#N/A</v>
      </c>
      <c r="C345" t="str">
        <f>VLOOKUP(A345,Building!A:A,1,FALSE)</f>
        <v>WYLIE HOUSE MUSEUM</v>
      </c>
      <c r="D345" t="str">
        <f>VLOOKUP(A345,Distance!A:A,1,FALSE)</f>
        <v>WYLIE HOUSE MUSEUM</v>
      </c>
    </row>
    <row r="346" spans="1:4" x14ac:dyDescent="0.3">
      <c r="A346" t="s">
        <v>365</v>
      </c>
      <c r="B346" t="e">
        <f>VLOOKUP(A346,Enrollment!A:A,1,FALSE)</f>
        <v>#N/A</v>
      </c>
      <c r="C346" t="str">
        <f>VLOOKUP(A346,Building!A:A,1,FALSE)</f>
        <v>2431 E 2ND ST</v>
      </c>
      <c r="D346" t="str">
        <f>VLOOKUP(A346,Distance!A:A,1,FALSE)</f>
        <v>2431 E 2ND ST</v>
      </c>
    </row>
    <row r="347" spans="1:4" x14ac:dyDescent="0.3">
      <c r="A347" t="s">
        <v>539</v>
      </c>
      <c r="B347" t="e">
        <f>VLOOKUP(A347,Enrollment!A:A,1,FALSE)</f>
        <v>#N/A</v>
      </c>
      <c r="C347" t="str">
        <f>VLOOKUP(A347,Building!A:A,1,FALSE)</f>
        <v>BRADLEY EDUCATION CENTER (MORTON C.)</v>
      </c>
      <c r="D347" t="str">
        <f>VLOOKUP(A347,Distance!A:A,1,FALSE)</f>
        <v>BRADLEY EDUCATION CENTER (MORTON C.)</v>
      </c>
    </row>
    <row r="348" spans="1:4" x14ac:dyDescent="0.3">
      <c r="A348" t="s">
        <v>335</v>
      </c>
      <c r="B348" t="e">
        <f>VLOOKUP(A348,Enrollment!A:A,1,FALSE)</f>
        <v>#N/A</v>
      </c>
      <c r="C348" t="str">
        <f>VLOOKUP(A348,Building!A:A,1,FALSE)</f>
        <v>2031 E 3RD ST</v>
      </c>
      <c r="D348" t="str">
        <f>VLOOKUP(A348,Distance!A:A,1,FALSE)</f>
        <v>2031 E 3RD ST</v>
      </c>
    </row>
    <row r="349" spans="1:4" x14ac:dyDescent="0.3">
      <c r="A349" t="s">
        <v>364</v>
      </c>
      <c r="B349" t="e">
        <f>VLOOKUP(A349,Enrollment!A:A,1,FALSE)</f>
        <v>#N/A</v>
      </c>
      <c r="C349" t="str">
        <f>VLOOKUP(A349,Building!A:A,1,FALSE)</f>
        <v>2427 E 2ND ST</v>
      </c>
      <c r="D349" t="str">
        <f>VLOOKUP(A349,Distance!A:A,1,FALSE)</f>
        <v>2427 E 2ND ST</v>
      </c>
    </row>
    <row r="350" spans="1:4" x14ac:dyDescent="0.3">
      <c r="A350" t="s">
        <v>537</v>
      </c>
      <c r="B350" t="e">
        <f>VLOOKUP(A350,Enrollment!A:A,1,FALSE)</f>
        <v>#N/A</v>
      </c>
      <c r="C350" t="str">
        <f>VLOOKUP(A350,Building!A:A,1,FALSE)</f>
        <v>411 S LINCOLN ST</v>
      </c>
      <c r="D350" t="str">
        <f>VLOOKUP(A350,Distance!A:A,1,FALSE)</f>
        <v>411 S LINCOLN ST</v>
      </c>
    </row>
    <row r="351" spans="1:4" x14ac:dyDescent="0.3">
      <c r="A351" t="s">
        <v>333</v>
      </c>
      <c r="B351" t="e">
        <f>VLOOKUP(A351,Enrollment!A:A,1,FALSE)</f>
        <v>#N/A</v>
      </c>
      <c r="C351" t="str">
        <f>VLOOKUP(A351,Building!A:A,1,FALSE)</f>
        <v>2029 E 3RD ST</v>
      </c>
      <c r="D351" t="str">
        <f>VLOOKUP(A351,Distance!A:A,1,FALSE)</f>
        <v>2029 E 3RD ST</v>
      </c>
    </row>
    <row r="352" spans="1:4" x14ac:dyDescent="0.3">
      <c r="A352" t="s">
        <v>535</v>
      </c>
      <c r="B352" t="e">
        <f>VLOOKUP(A352,Enrollment!A:A,1,FALSE)</f>
        <v>#N/A</v>
      </c>
      <c r="C352" t="str">
        <f>VLOOKUP(A352,Building!A:A,1,FALSE)</f>
        <v>422 S GRANT ST</v>
      </c>
      <c r="D352" t="str">
        <f>VLOOKUP(A352,Distance!A:A,1,FALSE)</f>
        <v>422 S GRANT ST</v>
      </c>
    </row>
    <row r="353" spans="1:4" x14ac:dyDescent="0.3">
      <c r="A353" t="s">
        <v>336</v>
      </c>
      <c r="B353" t="e">
        <f>VLOOKUP(A353,Enrollment!A:A,1,FALSE)</f>
        <v>#N/A</v>
      </c>
      <c r="C353" t="str">
        <f>VLOOKUP(A353,Building!A:A,1,FALSE)</f>
        <v>2030 E 3RD ST</v>
      </c>
      <c r="D353" t="str">
        <f>VLOOKUP(A353,Distance!A:A,1,FALSE)</f>
        <v>2030 E 3RD ST</v>
      </c>
    </row>
    <row r="354" spans="1:4" x14ac:dyDescent="0.3">
      <c r="A354" t="s">
        <v>536</v>
      </c>
      <c r="B354" t="e">
        <f>VLOOKUP(A354,Enrollment!A:A,1,FALSE)</f>
        <v>#N/A</v>
      </c>
      <c r="C354" t="str">
        <f>VLOOKUP(A354,Building!A:A,1,FALSE)</f>
        <v>422 S GRANT GARAGE</v>
      </c>
      <c r="D354" t="str">
        <f>VLOOKUP(A354,Distance!A:A,1,FALSE)</f>
        <v>422 S GRANT GARAGE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129F0-2061-44B1-8281-6041B6402D4B}">
  <dimension ref="A1:A487"/>
  <sheetViews>
    <sheetView workbookViewId="0">
      <selection activeCell="E11" sqref="E11"/>
    </sheetView>
  </sheetViews>
  <sheetFormatPr defaultRowHeight="14.4" x14ac:dyDescent="0.3"/>
  <sheetData>
    <row r="1" spans="1:1" x14ac:dyDescent="0.3">
      <c r="A1" t="s">
        <v>592</v>
      </c>
    </row>
    <row r="2" spans="1:1" x14ac:dyDescent="0.3">
      <c r="A2" t="s">
        <v>97</v>
      </c>
    </row>
    <row r="3" spans="1:1" x14ac:dyDescent="0.3">
      <c r="A3" t="s">
        <v>441</v>
      </c>
    </row>
    <row r="4" spans="1:1" x14ac:dyDescent="0.3">
      <c r="A4" t="s">
        <v>566</v>
      </c>
    </row>
    <row r="5" spans="1:1" x14ac:dyDescent="0.3">
      <c r="A5" t="s">
        <v>510</v>
      </c>
    </row>
    <row r="6" spans="1:1" x14ac:dyDescent="0.3">
      <c r="A6" t="s">
        <v>382</v>
      </c>
    </row>
    <row r="7" spans="1:1" x14ac:dyDescent="0.3">
      <c r="A7" t="s">
        <v>473</v>
      </c>
    </row>
    <row r="8" spans="1:1" x14ac:dyDescent="0.3">
      <c r="A8" t="s">
        <v>518</v>
      </c>
    </row>
    <row r="9" spans="1:1" x14ac:dyDescent="0.3">
      <c r="A9" t="s">
        <v>469</v>
      </c>
    </row>
    <row r="10" spans="1:1" x14ac:dyDescent="0.3">
      <c r="A10" t="s">
        <v>618</v>
      </c>
    </row>
    <row r="11" spans="1:1" x14ac:dyDescent="0.3">
      <c r="A11" t="s">
        <v>34</v>
      </c>
    </row>
    <row r="12" spans="1:1" x14ac:dyDescent="0.3">
      <c r="A12" t="s">
        <v>486</v>
      </c>
    </row>
    <row r="13" spans="1:1" x14ac:dyDescent="0.3">
      <c r="A13" t="s">
        <v>381</v>
      </c>
    </row>
    <row r="14" spans="1:1" x14ac:dyDescent="0.3">
      <c r="A14" t="s">
        <v>475</v>
      </c>
    </row>
    <row r="15" spans="1:1" x14ac:dyDescent="0.3">
      <c r="A15" t="s">
        <v>451</v>
      </c>
    </row>
    <row r="16" spans="1:1" x14ac:dyDescent="0.3">
      <c r="A16" t="s">
        <v>579</v>
      </c>
    </row>
    <row r="17" spans="1:1" x14ac:dyDescent="0.3">
      <c r="A17" t="s">
        <v>450</v>
      </c>
    </row>
    <row r="18" spans="1:1" x14ac:dyDescent="0.3">
      <c r="A18" t="s">
        <v>326</v>
      </c>
    </row>
    <row r="19" spans="1:1" x14ac:dyDescent="0.3">
      <c r="A19" t="s">
        <v>407</v>
      </c>
    </row>
    <row r="20" spans="1:1" x14ac:dyDescent="0.3">
      <c r="A20" t="s">
        <v>321</v>
      </c>
    </row>
    <row r="21" spans="1:1" x14ac:dyDescent="0.3">
      <c r="A21" t="s">
        <v>162</v>
      </c>
    </row>
    <row r="22" spans="1:1" x14ac:dyDescent="0.3">
      <c r="A22" t="s">
        <v>444</v>
      </c>
    </row>
    <row r="23" spans="1:1" x14ac:dyDescent="0.3">
      <c r="A23" t="s">
        <v>484</v>
      </c>
    </row>
    <row r="24" spans="1:1" x14ac:dyDescent="0.3">
      <c r="A24" t="s">
        <v>561</v>
      </c>
    </row>
    <row r="25" spans="1:1" x14ac:dyDescent="0.3">
      <c r="A25" t="s">
        <v>567</v>
      </c>
    </row>
    <row r="26" spans="1:1" x14ac:dyDescent="0.3">
      <c r="A26" t="s">
        <v>487</v>
      </c>
    </row>
    <row r="27" spans="1:1" x14ac:dyDescent="0.3">
      <c r="A27" t="s">
        <v>341</v>
      </c>
    </row>
    <row r="28" spans="1:1" x14ac:dyDescent="0.3">
      <c r="A28" t="s">
        <v>425</v>
      </c>
    </row>
    <row r="29" spans="1:1" x14ac:dyDescent="0.3">
      <c r="A29" t="s">
        <v>460</v>
      </c>
    </row>
    <row r="30" spans="1:1" x14ac:dyDescent="0.3">
      <c r="A30" t="s">
        <v>495</v>
      </c>
    </row>
    <row r="31" spans="1:1" x14ac:dyDescent="0.3">
      <c r="A31" t="s">
        <v>403</v>
      </c>
    </row>
    <row r="32" spans="1:1" x14ac:dyDescent="0.3">
      <c r="A32" t="s">
        <v>564</v>
      </c>
    </row>
    <row r="33" spans="1:1" x14ac:dyDescent="0.3">
      <c r="A33" t="s">
        <v>545</v>
      </c>
    </row>
    <row r="34" spans="1:1" x14ac:dyDescent="0.3">
      <c r="A34" t="s">
        <v>499</v>
      </c>
    </row>
    <row r="35" spans="1:1" x14ac:dyDescent="0.3">
      <c r="A35" t="s">
        <v>131</v>
      </c>
    </row>
    <row r="36" spans="1:1" x14ac:dyDescent="0.3">
      <c r="A36" t="s">
        <v>322</v>
      </c>
    </row>
    <row r="37" spans="1:1" x14ac:dyDescent="0.3">
      <c r="A37" t="s">
        <v>317</v>
      </c>
    </row>
    <row r="38" spans="1:1" x14ac:dyDescent="0.3">
      <c r="A38" t="s">
        <v>477</v>
      </c>
    </row>
    <row r="39" spans="1:1" x14ac:dyDescent="0.3">
      <c r="A39" t="s">
        <v>456</v>
      </c>
    </row>
    <row r="40" spans="1:1" x14ac:dyDescent="0.3">
      <c r="A40" t="s">
        <v>517</v>
      </c>
    </row>
    <row r="41" spans="1:1" x14ac:dyDescent="0.3">
      <c r="A41" t="s">
        <v>557</v>
      </c>
    </row>
    <row r="42" spans="1:1" x14ac:dyDescent="0.3">
      <c r="A42" t="s">
        <v>478</v>
      </c>
    </row>
    <row r="43" spans="1:1" x14ac:dyDescent="0.3">
      <c r="A43" t="s">
        <v>483</v>
      </c>
    </row>
    <row r="44" spans="1:1" x14ac:dyDescent="0.3">
      <c r="A44" t="s">
        <v>454</v>
      </c>
    </row>
    <row r="45" spans="1:1" x14ac:dyDescent="0.3">
      <c r="A45" t="s">
        <v>482</v>
      </c>
    </row>
    <row r="46" spans="1:1" x14ac:dyDescent="0.3">
      <c r="A46" t="s">
        <v>313</v>
      </c>
    </row>
    <row r="47" spans="1:1" x14ac:dyDescent="0.3">
      <c r="A47" t="s">
        <v>438</v>
      </c>
    </row>
    <row r="48" spans="1:1" x14ac:dyDescent="0.3">
      <c r="A48" t="s">
        <v>593</v>
      </c>
    </row>
    <row r="49" spans="1:1" x14ac:dyDescent="0.3">
      <c r="A49" t="s">
        <v>462</v>
      </c>
    </row>
    <row r="50" spans="1:1" x14ac:dyDescent="0.3">
      <c r="A50" t="s">
        <v>461</v>
      </c>
    </row>
    <row r="51" spans="1:1" x14ac:dyDescent="0.3">
      <c r="A51" t="s">
        <v>573</v>
      </c>
    </row>
    <row r="52" spans="1:1" x14ac:dyDescent="0.3">
      <c r="A52" t="s">
        <v>316</v>
      </c>
    </row>
    <row r="53" spans="1:1" x14ac:dyDescent="0.3">
      <c r="A53" t="s">
        <v>594</v>
      </c>
    </row>
    <row r="54" spans="1:1" x14ac:dyDescent="0.3">
      <c r="A54" t="s">
        <v>443</v>
      </c>
    </row>
    <row r="55" spans="1:1" x14ac:dyDescent="0.3">
      <c r="A55" t="s">
        <v>409</v>
      </c>
    </row>
    <row r="56" spans="1:1" x14ac:dyDescent="0.3">
      <c r="A56" t="s">
        <v>51</v>
      </c>
    </row>
    <row r="57" spans="1:1" x14ac:dyDescent="0.3">
      <c r="A57" t="s">
        <v>572</v>
      </c>
    </row>
    <row r="58" spans="1:1" x14ac:dyDescent="0.3">
      <c r="A58" t="s">
        <v>544</v>
      </c>
    </row>
    <row r="59" spans="1:1" x14ac:dyDescent="0.3">
      <c r="A59" t="s">
        <v>465</v>
      </c>
    </row>
    <row r="60" spans="1:1" x14ac:dyDescent="0.3">
      <c r="A60" t="s">
        <v>500</v>
      </c>
    </row>
    <row r="61" spans="1:1" x14ac:dyDescent="0.3">
      <c r="A61" t="s">
        <v>324</v>
      </c>
    </row>
    <row r="62" spans="1:1" x14ac:dyDescent="0.3">
      <c r="A62" t="s">
        <v>464</v>
      </c>
    </row>
    <row r="63" spans="1:1" x14ac:dyDescent="0.3">
      <c r="A63" t="s">
        <v>563</v>
      </c>
    </row>
    <row r="64" spans="1:1" x14ac:dyDescent="0.3">
      <c r="A64" t="s">
        <v>577</v>
      </c>
    </row>
    <row r="65" spans="1:1" x14ac:dyDescent="0.3">
      <c r="A65" t="s">
        <v>439</v>
      </c>
    </row>
    <row r="66" spans="1:1" x14ac:dyDescent="0.3">
      <c r="A66" t="s">
        <v>315</v>
      </c>
    </row>
    <row r="67" spans="1:1" x14ac:dyDescent="0.3">
      <c r="A67" t="s">
        <v>501</v>
      </c>
    </row>
    <row r="68" spans="1:1" x14ac:dyDescent="0.3">
      <c r="A68" t="s">
        <v>571</v>
      </c>
    </row>
    <row r="69" spans="1:1" x14ac:dyDescent="0.3">
      <c r="A69" t="s">
        <v>481</v>
      </c>
    </row>
    <row r="70" spans="1:1" x14ac:dyDescent="0.3">
      <c r="A70" t="s">
        <v>595</v>
      </c>
    </row>
    <row r="71" spans="1:1" x14ac:dyDescent="0.3">
      <c r="A71" t="s">
        <v>468</v>
      </c>
    </row>
    <row r="72" spans="1:1" x14ac:dyDescent="0.3">
      <c r="A72" t="s">
        <v>584</v>
      </c>
    </row>
    <row r="73" spans="1:1" x14ac:dyDescent="0.3">
      <c r="A73" t="s">
        <v>507</v>
      </c>
    </row>
    <row r="74" spans="1:1" x14ac:dyDescent="0.3">
      <c r="A74" t="s">
        <v>406</v>
      </c>
    </row>
    <row r="75" spans="1:1" x14ac:dyDescent="0.3">
      <c r="A75" t="s">
        <v>596</v>
      </c>
    </row>
    <row r="76" spans="1:1" x14ac:dyDescent="0.3">
      <c r="A76" t="s">
        <v>386</v>
      </c>
    </row>
    <row r="77" spans="1:1" x14ac:dyDescent="0.3">
      <c r="A77" t="s">
        <v>570</v>
      </c>
    </row>
    <row r="78" spans="1:1" x14ac:dyDescent="0.3">
      <c r="A78" t="s">
        <v>472</v>
      </c>
    </row>
    <row r="79" spans="1:1" x14ac:dyDescent="0.3">
      <c r="A79" t="s">
        <v>565</v>
      </c>
    </row>
    <row r="80" spans="1:1" x14ac:dyDescent="0.3">
      <c r="A80" t="s">
        <v>588</v>
      </c>
    </row>
    <row r="81" spans="1:1" x14ac:dyDescent="0.3">
      <c r="A81" t="s">
        <v>446</v>
      </c>
    </row>
    <row r="82" spans="1:1" x14ac:dyDescent="0.3">
      <c r="A82" t="s">
        <v>597</v>
      </c>
    </row>
    <row r="83" spans="1:1" x14ac:dyDescent="0.3">
      <c r="A83" t="s">
        <v>512</v>
      </c>
    </row>
    <row r="84" spans="1:1" x14ac:dyDescent="0.3">
      <c r="A84" t="s">
        <v>445</v>
      </c>
    </row>
    <row r="85" spans="1:1" x14ac:dyDescent="0.3">
      <c r="A85" t="s">
        <v>497</v>
      </c>
    </row>
    <row r="86" spans="1:1" x14ac:dyDescent="0.3">
      <c r="A86" t="s">
        <v>502</v>
      </c>
    </row>
    <row r="87" spans="1:1" x14ac:dyDescent="0.3">
      <c r="A87" t="s">
        <v>447</v>
      </c>
    </row>
    <row r="88" spans="1:1" x14ac:dyDescent="0.3">
      <c r="A88" t="s">
        <v>437</v>
      </c>
    </row>
    <row r="89" spans="1:1" x14ac:dyDescent="0.3">
      <c r="A89" t="s">
        <v>471</v>
      </c>
    </row>
    <row r="90" spans="1:1" x14ac:dyDescent="0.3">
      <c r="A90" t="s">
        <v>488</v>
      </c>
    </row>
    <row r="91" spans="1:1" x14ac:dyDescent="0.3">
      <c r="A91" t="s">
        <v>318</v>
      </c>
    </row>
    <row r="92" spans="1:1" x14ac:dyDescent="0.3">
      <c r="A92" t="s">
        <v>312</v>
      </c>
    </row>
    <row r="93" spans="1:1" x14ac:dyDescent="0.3">
      <c r="A93" t="s">
        <v>485</v>
      </c>
    </row>
    <row r="94" spans="1:1" x14ac:dyDescent="0.3">
      <c r="A94" t="s">
        <v>428</v>
      </c>
    </row>
    <row r="95" spans="1:1" x14ac:dyDescent="0.3">
      <c r="A95" t="s">
        <v>508</v>
      </c>
    </row>
    <row r="96" spans="1:1" x14ac:dyDescent="0.3">
      <c r="A96" t="s">
        <v>509</v>
      </c>
    </row>
    <row r="97" spans="1:1" x14ac:dyDescent="0.3">
      <c r="A97" t="s">
        <v>314</v>
      </c>
    </row>
    <row r="98" spans="1:1" x14ac:dyDescent="0.3">
      <c r="A98" t="s">
        <v>466</v>
      </c>
    </row>
    <row r="99" spans="1:1" x14ac:dyDescent="0.3">
      <c r="A99" t="s">
        <v>442</v>
      </c>
    </row>
    <row r="100" spans="1:1" x14ac:dyDescent="0.3">
      <c r="A100" t="s">
        <v>574</v>
      </c>
    </row>
    <row r="101" spans="1:1" x14ac:dyDescent="0.3">
      <c r="A101" t="s">
        <v>467</v>
      </c>
    </row>
    <row r="102" spans="1:1" x14ac:dyDescent="0.3">
      <c r="A102" t="s">
        <v>489</v>
      </c>
    </row>
    <row r="103" spans="1:1" x14ac:dyDescent="0.3">
      <c r="A103" t="s">
        <v>506</v>
      </c>
    </row>
    <row r="104" spans="1:1" x14ac:dyDescent="0.3">
      <c r="A104" t="s">
        <v>323</v>
      </c>
    </row>
    <row r="105" spans="1:1" x14ac:dyDescent="0.3">
      <c r="A105" t="s">
        <v>52</v>
      </c>
    </row>
    <row r="106" spans="1:1" x14ac:dyDescent="0.3">
      <c r="A106" t="s">
        <v>476</v>
      </c>
    </row>
    <row r="107" spans="1:1" x14ac:dyDescent="0.3">
      <c r="A107" t="s">
        <v>427</v>
      </c>
    </row>
    <row r="108" spans="1:1" x14ac:dyDescent="0.3">
      <c r="A108" t="s">
        <v>130</v>
      </c>
    </row>
    <row r="109" spans="1:1" x14ac:dyDescent="0.3">
      <c r="A109" t="s">
        <v>449</v>
      </c>
    </row>
    <row r="110" spans="1:1" x14ac:dyDescent="0.3">
      <c r="A110" t="s">
        <v>556</v>
      </c>
    </row>
    <row r="111" spans="1:1" x14ac:dyDescent="0.3">
      <c r="A111" t="s">
        <v>470</v>
      </c>
    </row>
    <row r="112" spans="1:1" x14ac:dyDescent="0.3">
      <c r="A112" t="s">
        <v>554</v>
      </c>
    </row>
    <row r="113" spans="1:1" x14ac:dyDescent="0.3">
      <c r="A113" t="s">
        <v>559</v>
      </c>
    </row>
    <row r="114" spans="1:1" x14ac:dyDescent="0.3">
      <c r="A114" t="s">
        <v>448</v>
      </c>
    </row>
    <row r="115" spans="1:1" x14ac:dyDescent="0.3">
      <c r="A115" t="s">
        <v>493</v>
      </c>
    </row>
    <row r="116" spans="1:1" x14ac:dyDescent="0.3">
      <c r="A116" t="s">
        <v>494</v>
      </c>
    </row>
    <row r="117" spans="1:1" x14ac:dyDescent="0.3">
      <c r="A117" t="s">
        <v>385</v>
      </c>
    </row>
    <row r="118" spans="1:1" x14ac:dyDescent="0.3">
      <c r="A118" t="s">
        <v>453</v>
      </c>
    </row>
    <row r="119" spans="1:1" x14ac:dyDescent="0.3">
      <c r="A119" t="s">
        <v>480</v>
      </c>
    </row>
    <row r="120" spans="1:1" x14ac:dyDescent="0.3">
      <c r="A120" t="s">
        <v>575</v>
      </c>
    </row>
    <row r="121" spans="1:1" x14ac:dyDescent="0.3">
      <c r="A121" t="s">
        <v>387</v>
      </c>
    </row>
    <row r="122" spans="1:1" x14ac:dyDescent="0.3">
      <c r="A122" t="s">
        <v>503</v>
      </c>
    </row>
    <row r="123" spans="1:1" x14ac:dyDescent="0.3">
      <c r="A123" t="s">
        <v>479</v>
      </c>
    </row>
    <row r="124" spans="1:1" x14ac:dyDescent="0.3">
      <c r="A124" t="s">
        <v>569</v>
      </c>
    </row>
    <row r="125" spans="1:1" x14ac:dyDescent="0.3">
      <c r="A125" t="s">
        <v>457</v>
      </c>
    </row>
    <row r="126" spans="1:1" x14ac:dyDescent="0.3">
      <c r="A126" t="s">
        <v>555</v>
      </c>
    </row>
    <row r="127" spans="1:1" x14ac:dyDescent="0.3">
      <c r="A127" t="s">
        <v>515</v>
      </c>
    </row>
    <row r="128" spans="1:1" x14ac:dyDescent="0.3">
      <c r="A128" t="s">
        <v>492</v>
      </c>
    </row>
    <row r="129" spans="1:1" x14ac:dyDescent="0.3">
      <c r="A129" t="s">
        <v>116</v>
      </c>
    </row>
    <row r="130" spans="1:1" x14ac:dyDescent="0.3">
      <c r="A130" t="s">
        <v>576</v>
      </c>
    </row>
    <row r="131" spans="1:1" x14ac:dyDescent="0.3">
      <c r="A131" t="s">
        <v>562</v>
      </c>
    </row>
    <row r="132" spans="1:1" x14ac:dyDescent="0.3">
      <c r="A132" t="s">
        <v>325</v>
      </c>
    </row>
    <row r="133" spans="1:1" x14ac:dyDescent="0.3">
      <c r="A133" t="s">
        <v>585</v>
      </c>
    </row>
    <row r="134" spans="1:1" x14ac:dyDescent="0.3">
      <c r="A134" t="s">
        <v>581</v>
      </c>
    </row>
    <row r="135" spans="1:1" x14ac:dyDescent="0.3">
      <c r="A135" t="s">
        <v>440</v>
      </c>
    </row>
    <row r="136" spans="1:1" x14ac:dyDescent="0.3">
      <c r="A136" t="s">
        <v>498</v>
      </c>
    </row>
    <row r="137" spans="1:1" x14ac:dyDescent="0.3">
      <c r="A137" t="s">
        <v>496</v>
      </c>
    </row>
    <row r="138" spans="1:1" x14ac:dyDescent="0.3">
      <c r="A138" t="s">
        <v>147</v>
      </c>
    </row>
    <row r="139" spans="1:1" x14ac:dyDescent="0.3">
      <c r="A139" t="s">
        <v>519</v>
      </c>
    </row>
    <row r="140" spans="1:1" x14ac:dyDescent="0.3">
      <c r="A140" t="s">
        <v>177</v>
      </c>
    </row>
    <row r="141" spans="1:1" x14ac:dyDescent="0.3">
      <c r="A141" t="s">
        <v>455</v>
      </c>
    </row>
    <row r="142" spans="1:1" x14ac:dyDescent="0.3">
      <c r="A142" t="s">
        <v>474</v>
      </c>
    </row>
    <row r="143" spans="1:1" x14ac:dyDescent="0.3">
      <c r="A143" t="s">
        <v>424</v>
      </c>
    </row>
    <row r="144" spans="1:1" x14ac:dyDescent="0.3">
      <c r="A144" t="s">
        <v>388</v>
      </c>
    </row>
    <row r="145" spans="1:1" x14ac:dyDescent="0.3">
      <c r="A145" t="s">
        <v>421</v>
      </c>
    </row>
    <row r="146" spans="1:1" x14ac:dyDescent="0.3">
      <c r="A146" t="s">
        <v>560</v>
      </c>
    </row>
    <row r="147" spans="1:1" x14ac:dyDescent="0.3">
      <c r="A147" t="s">
        <v>343</v>
      </c>
    </row>
    <row r="148" spans="1:1" x14ac:dyDescent="0.3">
      <c r="A148" t="s">
        <v>504</v>
      </c>
    </row>
    <row r="149" spans="1:1" x14ac:dyDescent="0.3">
      <c r="A149" t="s">
        <v>505</v>
      </c>
    </row>
    <row r="150" spans="1:1" x14ac:dyDescent="0.3">
      <c r="A150" t="s">
        <v>463</v>
      </c>
    </row>
    <row r="151" spans="1:1" x14ac:dyDescent="0.3">
      <c r="A151" t="s">
        <v>452</v>
      </c>
    </row>
    <row r="152" spans="1:1" x14ac:dyDescent="0.3">
      <c r="A152" t="s">
        <v>516</v>
      </c>
    </row>
    <row r="153" spans="1:1" x14ac:dyDescent="0.3">
      <c r="A153" t="s">
        <v>558</v>
      </c>
    </row>
    <row r="154" spans="1:1" x14ac:dyDescent="0.3">
      <c r="A154" t="s">
        <v>4</v>
      </c>
    </row>
    <row r="155" spans="1:1" x14ac:dyDescent="0.3">
      <c r="A155" t="s">
        <v>416</v>
      </c>
    </row>
    <row r="156" spans="1:1" x14ac:dyDescent="0.3">
      <c r="A156" t="s">
        <v>408</v>
      </c>
    </row>
    <row r="157" spans="1:1" x14ac:dyDescent="0.3">
      <c r="A157" t="s">
        <v>390</v>
      </c>
    </row>
    <row r="158" spans="1:1" x14ac:dyDescent="0.3">
      <c r="A158" t="s">
        <v>591</v>
      </c>
    </row>
    <row r="159" spans="1:1" x14ac:dyDescent="0.3">
      <c r="A159" t="s">
        <v>68</v>
      </c>
    </row>
    <row r="160" spans="1:1" x14ac:dyDescent="0.3">
      <c r="A160" t="s">
        <v>170</v>
      </c>
    </row>
    <row r="161" spans="1:1" x14ac:dyDescent="0.3">
      <c r="A161" t="s">
        <v>213</v>
      </c>
    </row>
    <row r="162" spans="1:1" x14ac:dyDescent="0.3">
      <c r="A162" t="s">
        <v>420</v>
      </c>
    </row>
    <row r="163" spans="1:1" x14ac:dyDescent="0.3">
      <c r="A163" t="s">
        <v>589</v>
      </c>
    </row>
    <row r="164" spans="1:1" x14ac:dyDescent="0.3">
      <c r="A164" t="s">
        <v>369</v>
      </c>
    </row>
    <row r="165" spans="1:1" x14ac:dyDescent="0.3">
      <c r="A165" t="s">
        <v>430</v>
      </c>
    </row>
    <row r="166" spans="1:1" x14ac:dyDescent="0.3">
      <c r="A166" t="s">
        <v>434</v>
      </c>
    </row>
    <row r="167" spans="1:1" x14ac:dyDescent="0.3">
      <c r="A167" t="s">
        <v>199</v>
      </c>
    </row>
    <row r="168" spans="1:1" x14ac:dyDescent="0.3">
      <c r="A168" t="s">
        <v>383</v>
      </c>
    </row>
    <row r="169" spans="1:1" x14ac:dyDescent="0.3">
      <c r="A169" t="s">
        <v>410</v>
      </c>
    </row>
    <row r="170" spans="1:1" x14ac:dyDescent="0.3">
      <c r="A170" t="s">
        <v>207</v>
      </c>
    </row>
    <row r="171" spans="1:1" x14ac:dyDescent="0.3">
      <c r="A171" t="s">
        <v>422</v>
      </c>
    </row>
    <row r="172" spans="1:1" x14ac:dyDescent="0.3">
      <c r="A172" t="s">
        <v>211</v>
      </c>
    </row>
    <row r="173" spans="1:1" x14ac:dyDescent="0.3">
      <c r="A173" t="s">
        <v>433</v>
      </c>
    </row>
    <row r="174" spans="1:1" x14ac:dyDescent="0.3">
      <c r="A174" t="s">
        <v>367</v>
      </c>
    </row>
    <row r="175" spans="1:1" x14ac:dyDescent="0.3">
      <c r="A175" t="s">
        <v>239</v>
      </c>
    </row>
    <row r="176" spans="1:1" x14ac:dyDescent="0.3">
      <c r="A176" t="s">
        <v>259</v>
      </c>
    </row>
    <row r="177" spans="1:1" x14ac:dyDescent="0.3">
      <c r="A177" t="s">
        <v>93</v>
      </c>
    </row>
    <row r="178" spans="1:1" x14ac:dyDescent="0.3">
      <c r="A178" t="s">
        <v>237</v>
      </c>
    </row>
    <row r="179" spans="1:1" x14ac:dyDescent="0.3">
      <c r="A179" t="s">
        <v>271</v>
      </c>
    </row>
    <row r="180" spans="1:1" x14ac:dyDescent="0.3">
      <c r="A180" t="s">
        <v>244</v>
      </c>
    </row>
    <row r="181" spans="1:1" x14ac:dyDescent="0.3">
      <c r="A181" t="s">
        <v>375</v>
      </c>
    </row>
    <row r="182" spans="1:1" x14ac:dyDescent="0.3">
      <c r="A182" t="s">
        <v>413</v>
      </c>
    </row>
    <row r="183" spans="1:1" x14ac:dyDescent="0.3">
      <c r="A183" t="s">
        <v>197</v>
      </c>
    </row>
    <row r="184" spans="1:1" x14ac:dyDescent="0.3">
      <c r="A184" t="s">
        <v>296</v>
      </c>
    </row>
    <row r="185" spans="1:1" x14ac:dyDescent="0.3">
      <c r="A185" t="s">
        <v>404</v>
      </c>
    </row>
    <row r="186" spans="1:1" x14ac:dyDescent="0.3">
      <c r="A186" t="s">
        <v>431</v>
      </c>
    </row>
    <row r="187" spans="1:1" x14ac:dyDescent="0.3">
      <c r="A187" t="s">
        <v>212</v>
      </c>
    </row>
    <row r="188" spans="1:1" x14ac:dyDescent="0.3">
      <c r="A188" t="s">
        <v>400</v>
      </c>
    </row>
    <row r="189" spans="1:1" x14ac:dyDescent="0.3">
      <c r="A189" t="s">
        <v>269</v>
      </c>
    </row>
    <row r="190" spans="1:1" x14ac:dyDescent="0.3">
      <c r="A190" t="s">
        <v>241</v>
      </c>
    </row>
    <row r="191" spans="1:1" x14ac:dyDescent="0.3">
      <c r="A191" t="s">
        <v>127</v>
      </c>
    </row>
    <row r="192" spans="1:1" x14ac:dyDescent="0.3">
      <c r="A192" t="s">
        <v>401</v>
      </c>
    </row>
    <row r="193" spans="1:1" x14ac:dyDescent="0.3">
      <c r="A193" t="s">
        <v>206</v>
      </c>
    </row>
    <row r="194" spans="1:1" x14ac:dyDescent="0.3">
      <c r="A194" t="s">
        <v>411</v>
      </c>
    </row>
    <row r="195" spans="1:1" x14ac:dyDescent="0.3">
      <c r="A195" t="s">
        <v>105</v>
      </c>
    </row>
    <row r="196" spans="1:1" x14ac:dyDescent="0.3">
      <c r="A196" t="s">
        <v>161</v>
      </c>
    </row>
    <row r="197" spans="1:1" x14ac:dyDescent="0.3">
      <c r="A197" t="s">
        <v>73</v>
      </c>
    </row>
    <row r="198" spans="1:1" x14ac:dyDescent="0.3">
      <c r="A198" t="s">
        <v>378</v>
      </c>
    </row>
    <row r="199" spans="1:1" x14ac:dyDescent="0.3">
      <c r="A199" t="s">
        <v>423</v>
      </c>
    </row>
    <row r="200" spans="1:1" x14ac:dyDescent="0.3">
      <c r="A200" t="s">
        <v>374</v>
      </c>
    </row>
    <row r="201" spans="1:1" x14ac:dyDescent="0.3">
      <c r="A201" t="s">
        <v>490</v>
      </c>
    </row>
    <row r="202" spans="1:1" x14ac:dyDescent="0.3">
      <c r="A202" t="s">
        <v>402</v>
      </c>
    </row>
    <row r="203" spans="1:1" x14ac:dyDescent="0.3">
      <c r="A203" t="s">
        <v>395</v>
      </c>
    </row>
    <row r="204" spans="1:1" x14ac:dyDescent="0.3">
      <c r="A204" t="s">
        <v>398</v>
      </c>
    </row>
    <row r="205" spans="1:1" x14ac:dyDescent="0.3">
      <c r="A205" t="s">
        <v>11</v>
      </c>
    </row>
    <row r="206" spans="1:1" x14ac:dyDescent="0.3">
      <c r="A206" t="s">
        <v>435</v>
      </c>
    </row>
    <row r="207" spans="1:1" x14ac:dyDescent="0.3">
      <c r="A207" t="s">
        <v>260</v>
      </c>
    </row>
    <row r="208" spans="1:1" x14ac:dyDescent="0.3">
      <c r="A208" t="s">
        <v>380</v>
      </c>
    </row>
    <row r="209" spans="1:1" x14ac:dyDescent="0.3">
      <c r="A209" t="s">
        <v>238</v>
      </c>
    </row>
    <row r="210" spans="1:1" x14ac:dyDescent="0.3">
      <c r="A210" t="s">
        <v>250</v>
      </c>
    </row>
    <row r="211" spans="1:1" x14ac:dyDescent="0.3">
      <c r="A211" t="s">
        <v>253</v>
      </c>
    </row>
    <row r="212" spans="1:1" x14ac:dyDescent="0.3">
      <c r="A212" t="s">
        <v>417</v>
      </c>
    </row>
    <row r="213" spans="1:1" x14ac:dyDescent="0.3">
      <c r="A213" t="s">
        <v>262</v>
      </c>
    </row>
    <row r="214" spans="1:1" x14ac:dyDescent="0.3">
      <c r="A214" t="s">
        <v>261</v>
      </c>
    </row>
    <row r="215" spans="1:1" x14ac:dyDescent="0.3">
      <c r="A215" t="s">
        <v>399</v>
      </c>
    </row>
    <row r="216" spans="1:1" x14ac:dyDescent="0.3">
      <c r="A216" t="s">
        <v>372</v>
      </c>
    </row>
    <row r="217" spans="1:1" x14ac:dyDescent="0.3">
      <c r="A217" t="s">
        <v>614</v>
      </c>
    </row>
    <row r="218" spans="1:1" x14ac:dyDescent="0.3">
      <c r="A218" t="s">
        <v>243</v>
      </c>
    </row>
    <row r="219" spans="1:1" x14ac:dyDescent="0.3">
      <c r="A219" t="s">
        <v>599</v>
      </c>
    </row>
    <row r="220" spans="1:1" x14ac:dyDescent="0.3">
      <c r="A220" t="s">
        <v>370</v>
      </c>
    </row>
    <row r="221" spans="1:1" x14ac:dyDescent="0.3">
      <c r="A221" t="s">
        <v>236</v>
      </c>
    </row>
    <row r="222" spans="1:1" x14ac:dyDescent="0.3">
      <c r="A222" t="s">
        <v>272</v>
      </c>
    </row>
    <row r="223" spans="1:1" x14ac:dyDescent="0.3">
      <c r="A223" t="s">
        <v>204</v>
      </c>
    </row>
    <row r="224" spans="1:1" x14ac:dyDescent="0.3">
      <c r="A224" t="s">
        <v>263</v>
      </c>
    </row>
    <row r="225" spans="1:1" x14ac:dyDescent="0.3">
      <c r="A225" t="s">
        <v>429</v>
      </c>
    </row>
    <row r="226" spans="1:1" x14ac:dyDescent="0.3">
      <c r="A226" t="s">
        <v>157</v>
      </c>
    </row>
    <row r="227" spans="1:1" x14ac:dyDescent="0.3">
      <c r="A227" t="s">
        <v>252</v>
      </c>
    </row>
    <row r="228" spans="1:1" x14ac:dyDescent="0.3">
      <c r="A228" t="s">
        <v>198</v>
      </c>
    </row>
    <row r="229" spans="1:1" x14ac:dyDescent="0.3">
      <c r="A229" t="s">
        <v>72</v>
      </c>
    </row>
    <row r="230" spans="1:1" x14ac:dyDescent="0.3">
      <c r="A230" t="s">
        <v>414</v>
      </c>
    </row>
    <row r="231" spans="1:1" x14ac:dyDescent="0.3">
      <c r="A231" t="s">
        <v>62</v>
      </c>
    </row>
    <row r="232" spans="1:1" x14ac:dyDescent="0.3">
      <c r="A232" t="s">
        <v>210</v>
      </c>
    </row>
    <row r="233" spans="1:1" x14ac:dyDescent="0.3">
      <c r="A233" t="s">
        <v>240</v>
      </c>
    </row>
    <row r="234" spans="1:1" x14ac:dyDescent="0.3">
      <c r="A234" t="s">
        <v>28</v>
      </c>
    </row>
    <row r="235" spans="1:1" x14ac:dyDescent="0.3">
      <c r="A235" t="s">
        <v>366</v>
      </c>
    </row>
    <row r="236" spans="1:1" x14ac:dyDescent="0.3">
      <c r="A236" t="s">
        <v>209</v>
      </c>
    </row>
    <row r="237" spans="1:1" x14ac:dyDescent="0.3">
      <c r="A237" t="s">
        <v>384</v>
      </c>
    </row>
    <row r="238" spans="1:1" x14ac:dyDescent="0.3">
      <c r="A238" t="s">
        <v>141</v>
      </c>
    </row>
    <row r="239" spans="1:1" x14ac:dyDescent="0.3">
      <c r="A239" t="s">
        <v>394</v>
      </c>
    </row>
    <row r="240" spans="1:1" x14ac:dyDescent="0.3">
      <c r="A240" t="s">
        <v>590</v>
      </c>
    </row>
    <row r="241" spans="1:1" x14ac:dyDescent="0.3">
      <c r="A241" t="s">
        <v>397</v>
      </c>
    </row>
    <row r="242" spans="1:1" x14ac:dyDescent="0.3">
      <c r="A242" t="s">
        <v>377</v>
      </c>
    </row>
    <row r="243" spans="1:1" x14ac:dyDescent="0.3">
      <c r="A243" t="s">
        <v>247</v>
      </c>
    </row>
    <row r="244" spans="1:1" x14ac:dyDescent="0.3">
      <c r="A244" t="s">
        <v>248</v>
      </c>
    </row>
    <row r="245" spans="1:1" x14ac:dyDescent="0.3">
      <c r="A245" t="s">
        <v>288</v>
      </c>
    </row>
    <row r="246" spans="1:1" x14ac:dyDescent="0.3">
      <c r="A246" t="s">
        <v>396</v>
      </c>
    </row>
    <row r="247" spans="1:1" x14ac:dyDescent="0.3">
      <c r="A247" t="s">
        <v>6</v>
      </c>
    </row>
    <row r="248" spans="1:1" x14ac:dyDescent="0.3">
      <c r="A248" t="s">
        <v>393</v>
      </c>
    </row>
    <row r="249" spans="1:1" x14ac:dyDescent="0.3">
      <c r="A249" t="s">
        <v>553</v>
      </c>
    </row>
    <row r="250" spans="1:1" x14ac:dyDescent="0.3">
      <c r="A250" t="s">
        <v>412</v>
      </c>
    </row>
    <row r="251" spans="1:1" x14ac:dyDescent="0.3">
      <c r="A251" t="s">
        <v>14</v>
      </c>
    </row>
    <row r="252" spans="1:1" x14ac:dyDescent="0.3">
      <c r="A252" t="s">
        <v>368</v>
      </c>
    </row>
    <row r="253" spans="1:1" x14ac:dyDescent="0.3">
      <c r="A253" t="s">
        <v>376</v>
      </c>
    </row>
    <row r="254" spans="1:1" x14ac:dyDescent="0.3">
      <c r="A254" t="s">
        <v>405</v>
      </c>
    </row>
    <row r="255" spans="1:1" x14ac:dyDescent="0.3">
      <c r="A255" t="s">
        <v>371</v>
      </c>
    </row>
    <row r="256" spans="1:1" x14ac:dyDescent="0.3">
      <c r="A256" t="s">
        <v>254</v>
      </c>
    </row>
    <row r="257" spans="1:1" x14ac:dyDescent="0.3">
      <c r="A257" t="s">
        <v>297</v>
      </c>
    </row>
    <row r="258" spans="1:1" x14ac:dyDescent="0.3">
      <c r="A258" t="s">
        <v>491</v>
      </c>
    </row>
    <row r="259" spans="1:1" x14ac:dyDescent="0.3">
      <c r="A259" t="s">
        <v>432</v>
      </c>
    </row>
    <row r="260" spans="1:1" x14ac:dyDescent="0.3">
      <c r="A260" t="s">
        <v>419</v>
      </c>
    </row>
    <row r="261" spans="1:1" x14ac:dyDescent="0.3">
      <c r="A261" t="s">
        <v>245</v>
      </c>
    </row>
    <row r="262" spans="1:1" x14ac:dyDescent="0.3">
      <c r="A262" t="s">
        <v>251</v>
      </c>
    </row>
    <row r="263" spans="1:1" x14ac:dyDescent="0.3">
      <c r="A263" t="s">
        <v>10</v>
      </c>
    </row>
    <row r="264" spans="1:1" x14ac:dyDescent="0.3">
      <c r="A264" t="s">
        <v>379</v>
      </c>
    </row>
    <row r="265" spans="1:1" x14ac:dyDescent="0.3">
      <c r="A265" t="s">
        <v>583</v>
      </c>
    </row>
    <row r="266" spans="1:1" x14ac:dyDescent="0.3">
      <c r="A266" t="s">
        <v>242</v>
      </c>
    </row>
    <row r="267" spans="1:1" x14ac:dyDescent="0.3">
      <c r="A267" t="s">
        <v>256</v>
      </c>
    </row>
    <row r="268" spans="1:1" x14ac:dyDescent="0.3">
      <c r="A268" t="s">
        <v>158</v>
      </c>
    </row>
    <row r="269" spans="1:1" x14ac:dyDescent="0.3">
      <c r="A269" t="s">
        <v>203</v>
      </c>
    </row>
    <row r="270" spans="1:1" x14ac:dyDescent="0.3">
      <c r="A270" t="s">
        <v>171</v>
      </c>
    </row>
    <row r="271" spans="1:1" x14ac:dyDescent="0.3">
      <c r="A271" t="s">
        <v>196</v>
      </c>
    </row>
    <row r="272" spans="1:1" x14ac:dyDescent="0.3">
      <c r="A272" t="s">
        <v>389</v>
      </c>
    </row>
    <row r="273" spans="1:1" x14ac:dyDescent="0.3">
      <c r="A273" t="s">
        <v>208</v>
      </c>
    </row>
    <row r="274" spans="1:1" x14ac:dyDescent="0.3">
      <c r="A274" t="s">
        <v>255</v>
      </c>
    </row>
    <row r="275" spans="1:1" x14ac:dyDescent="0.3">
      <c r="A275" t="s">
        <v>436</v>
      </c>
    </row>
    <row r="276" spans="1:1" x14ac:dyDescent="0.3">
      <c r="A276" t="s">
        <v>415</v>
      </c>
    </row>
    <row r="277" spans="1:1" x14ac:dyDescent="0.3">
      <c r="A277" t="s">
        <v>202</v>
      </c>
    </row>
    <row r="278" spans="1:1" x14ac:dyDescent="0.3">
      <c r="A278" t="s">
        <v>582</v>
      </c>
    </row>
    <row r="279" spans="1:1" x14ac:dyDescent="0.3">
      <c r="A279" t="s">
        <v>264</v>
      </c>
    </row>
    <row r="280" spans="1:1" x14ac:dyDescent="0.3">
      <c r="A280" t="s">
        <v>249</v>
      </c>
    </row>
    <row r="281" spans="1:1" x14ac:dyDescent="0.3">
      <c r="A281" t="s">
        <v>246</v>
      </c>
    </row>
    <row r="282" spans="1:1" x14ac:dyDescent="0.3">
      <c r="A282" t="s">
        <v>137</v>
      </c>
    </row>
    <row r="283" spans="1:1" x14ac:dyDescent="0.3">
      <c r="A283" t="s">
        <v>205</v>
      </c>
    </row>
    <row r="284" spans="1:1" x14ac:dyDescent="0.3">
      <c r="A284" t="s">
        <v>392</v>
      </c>
    </row>
    <row r="285" spans="1:1" x14ac:dyDescent="0.3">
      <c r="A285" t="s">
        <v>373</v>
      </c>
    </row>
    <row r="286" spans="1:1" x14ac:dyDescent="0.3">
      <c r="A286" t="s">
        <v>258</v>
      </c>
    </row>
    <row r="287" spans="1:1" x14ac:dyDescent="0.3">
      <c r="A287" t="s">
        <v>426</v>
      </c>
    </row>
    <row r="288" spans="1:1" x14ac:dyDescent="0.3">
      <c r="A288" t="s">
        <v>257</v>
      </c>
    </row>
    <row r="289" spans="1:1" x14ac:dyDescent="0.3">
      <c r="A289" t="s">
        <v>418</v>
      </c>
    </row>
    <row r="290" spans="1:1" x14ac:dyDescent="0.3">
      <c r="A290" t="s">
        <v>280</v>
      </c>
    </row>
    <row r="291" spans="1:1" x14ac:dyDescent="0.3">
      <c r="A291" t="s">
        <v>232</v>
      </c>
    </row>
    <row r="292" spans="1:1" x14ac:dyDescent="0.3">
      <c r="A292" t="s">
        <v>281</v>
      </c>
    </row>
    <row r="293" spans="1:1" x14ac:dyDescent="0.3">
      <c r="A293" t="s">
        <v>598</v>
      </c>
    </row>
    <row r="294" spans="1:1" x14ac:dyDescent="0.3">
      <c r="A294" t="s">
        <v>603</v>
      </c>
    </row>
    <row r="295" spans="1:1" x14ac:dyDescent="0.3">
      <c r="A295" t="s">
        <v>282</v>
      </c>
    </row>
    <row r="296" spans="1:1" x14ac:dyDescent="0.3">
      <c r="A296" t="s">
        <v>283</v>
      </c>
    </row>
    <row r="297" spans="1:1" x14ac:dyDescent="0.3">
      <c r="A297" t="s">
        <v>19</v>
      </c>
    </row>
    <row r="298" spans="1:1" x14ac:dyDescent="0.3">
      <c r="A298" t="s">
        <v>7</v>
      </c>
    </row>
    <row r="299" spans="1:1" x14ac:dyDescent="0.3">
      <c r="A299" t="s">
        <v>48</v>
      </c>
    </row>
    <row r="300" spans="1:1" x14ac:dyDescent="0.3">
      <c r="A300" t="s">
        <v>293</v>
      </c>
    </row>
    <row r="301" spans="1:1" x14ac:dyDescent="0.3">
      <c r="A301" t="s">
        <v>275</v>
      </c>
    </row>
    <row r="302" spans="1:1" x14ac:dyDescent="0.3">
      <c r="A302" t="s">
        <v>65</v>
      </c>
    </row>
    <row r="303" spans="1:1" x14ac:dyDescent="0.3">
      <c r="A303" t="s">
        <v>102</v>
      </c>
    </row>
    <row r="304" spans="1:1" x14ac:dyDescent="0.3">
      <c r="A304" t="s">
        <v>216</v>
      </c>
    </row>
    <row r="305" spans="1:1" x14ac:dyDescent="0.3">
      <c r="A305" t="s">
        <v>13</v>
      </c>
    </row>
    <row r="306" spans="1:1" x14ac:dyDescent="0.3">
      <c r="A306" t="s">
        <v>298</v>
      </c>
    </row>
    <row r="307" spans="1:1" x14ac:dyDescent="0.3">
      <c r="A307" t="s">
        <v>77</v>
      </c>
    </row>
    <row r="308" spans="1:1" x14ac:dyDescent="0.3">
      <c r="A308" t="s">
        <v>552</v>
      </c>
    </row>
    <row r="309" spans="1:1" x14ac:dyDescent="0.3">
      <c r="A309" t="s">
        <v>152</v>
      </c>
    </row>
    <row r="310" spans="1:1" x14ac:dyDescent="0.3">
      <c r="A310" t="s">
        <v>201</v>
      </c>
    </row>
    <row r="311" spans="1:1" x14ac:dyDescent="0.3">
      <c r="A311" t="s">
        <v>284</v>
      </c>
    </row>
    <row r="312" spans="1:1" x14ac:dyDescent="0.3">
      <c r="A312" t="s">
        <v>541</v>
      </c>
    </row>
    <row r="313" spans="1:1" x14ac:dyDescent="0.3">
      <c r="A313" t="s">
        <v>233</v>
      </c>
    </row>
    <row r="314" spans="1:1" x14ac:dyDescent="0.3">
      <c r="A314" t="s">
        <v>586</v>
      </c>
    </row>
    <row r="315" spans="1:1" x14ac:dyDescent="0.3">
      <c r="A315" t="s">
        <v>268</v>
      </c>
    </row>
    <row r="316" spans="1:1" x14ac:dyDescent="0.3">
      <c r="A316" t="s">
        <v>192</v>
      </c>
    </row>
    <row r="317" spans="1:1" x14ac:dyDescent="0.3">
      <c r="A317" t="s">
        <v>49</v>
      </c>
    </row>
    <row r="318" spans="1:1" x14ac:dyDescent="0.3">
      <c r="A318" t="s">
        <v>217</v>
      </c>
    </row>
    <row r="319" spans="1:1" x14ac:dyDescent="0.3">
      <c r="A319" t="s">
        <v>180</v>
      </c>
    </row>
    <row r="320" spans="1:1" x14ac:dyDescent="0.3">
      <c r="A320" t="s">
        <v>391</v>
      </c>
    </row>
    <row r="321" spans="1:1" x14ac:dyDescent="0.3">
      <c r="A321" t="s">
        <v>193</v>
      </c>
    </row>
    <row r="322" spans="1:1" x14ac:dyDescent="0.3">
      <c r="A322" t="s">
        <v>218</v>
      </c>
    </row>
    <row r="323" spans="1:1" x14ac:dyDescent="0.3">
      <c r="A323" t="s">
        <v>274</v>
      </c>
    </row>
    <row r="324" spans="1:1" x14ac:dyDescent="0.3">
      <c r="A324" t="s">
        <v>267</v>
      </c>
    </row>
    <row r="325" spans="1:1" x14ac:dyDescent="0.3">
      <c r="A325" t="s">
        <v>112</v>
      </c>
    </row>
    <row r="326" spans="1:1" x14ac:dyDescent="0.3">
      <c r="A326" t="s">
        <v>266</v>
      </c>
    </row>
    <row r="327" spans="1:1" x14ac:dyDescent="0.3">
      <c r="A327" t="s">
        <v>235</v>
      </c>
    </row>
    <row r="328" spans="1:1" x14ac:dyDescent="0.3">
      <c r="A328" t="s">
        <v>214</v>
      </c>
    </row>
    <row r="329" spans="1:1" x14ac:dyDescent="0.3">
      <c r="A329" t="s">
        <v>3</v>
      </c>
    </row>
    <row r="330" spans="1:1" x14ac:dyDescent="0.3">
      <c r="A330" t="s">
        <v>183</v>
      </c>
    </row>
    <row r="331" spans="1:1" x14ac:dyDescent="0.3">
      <c r="A331" t="s">
        <v>187</v>
      </c>
    </row>
    <row r="332" spans="1:1" x14ac:dyDescent="0.3">
      <c r="A332" t="s">
        <v>47</v>
      </c>
    </row>
    <row r="333" spans="1:1" x14ac:dyDescent="0.3">
      <c r="A333" t="s">
        <v>219</v>
      </c>
    </row>
    <row r="334" spans="1:1" x14ac:dyDescent="0.3">
      <c r="A334" t="s">
        <v>265</v>
      </c>
    </row>
    <row r="335" spans="1:1" x14ac:dyDescent="0.3">
      <c r="A335" t="s">
        <v>18</v>
      </c>
    </row>
    <row r="336" spans="1:1" x14ac:dyDescent="0.3">
      <c r="A336" t="s">
        <v>70</v>
      </c>
    </row>
    <row r="337" spans="1:1" x14ac:dyDescent="0.3">
      <c r="A337" t="s">
        <v>270</v>
      </c>
    </row>
    <row r="338" spans="1:1" x14ac:dyDescent="0.3">
      <c r="A338" t="s">
        <v>103</v>
      </c>
    </row>
    <row r="339" spans="1:1" x14ac:dyDescent="0.3">
      <c r="A339" t="s">
        <v>533</v>
      </c>
    </row>
    <row r="340" spans="1:1" x14ac:dyDescent="0.3">
      <c r="A340" t="s">
        <v>54</v>
      </c>
    </row>
    <row r="341" spans="1:1" x14ac:dyDescent="0.3">
      <c r="A341" t="s">
        <v>1</v>
      </c>
    </row>
    <row r="342" spans="1:1" x14ac:dyDescent="0.3">
      <c r="A342" t="s">
        <v>53</v>
      </c>
    </row>
    <row r="343" spans="1:1" x14ac:dyDescent="0.3">
      <c r="A343" t="s">
        <v>540</v>
      </c>
    </row>
    <row r="344" spans="1:1" x14ac:dyDescent="0.3">
      <c r="A344" t="s">
        <v>164</v>
      </c>
    </row>
    <row r="345" spans="1:1" x14ac:dyDescent="0.3">
      <c r="A345" t="s">
        <v>200</v>
      </c>
    </row>
    <row r="346" spans="1:1" x14ac:dyDescent="0.3">
      <c r="A346" t="s">
        <v>234</v>
      </c>
    </row>
    <row r="347" spans="1:1" x14ac:dyDescent="0.3">
      <c r="A347" t="s">
        <v>292</v>
      </c>
    </row>
    <row r="348" spans="1:1" x14ac:dyDescent="0.3">
      <c r="A348" t="s">
        <v>580</v>
      </c>
    </row>
    <row r="349" spans="1:1" x14ac:dyDescent="0.3">
      <c r="A349" t="s">
        <v>230</v>
      </c>
    </row>
    <row r="350" spans="1:1" x14ac:dyDescent="0.3">
      <c r="A350" t="s">
        <v>101</v>
      </c>
    </row>
    <row r="351" spans="1:1" x14ac:dyDescent="0.3">
      <c r="A351" t="s">
        <v>276</v>
      </c>
    </row>
    <row r="352" spans="1:1" x14ac:dyDescent="0.3">
      <c r="A352" t="s">
        <v>231</v>
      </c>
    </row>
    <row r="353" spans="1:1" x14ac:dyDescent="0.3">
      <c r="A353" t="s">
        <v>194</v>
      </c>
    </row>
    <row r="354" spans="1:1" x14ac:dyDescent="0.3">
      <c r="A354" t="s">
        <v>195</v>
      </c>
    </row>
    <row r="355" spans="1:1" x14ac:dyDescent="0.3">
      <c r="A355" t="s">
        <v>289</v>
      </c>
    </row>
    <row r="356" spans="1:1" x14ac:dyDescent="0.3">
      <c r="A356" t="s">
        <v>294</v>
      </c>
    </row>
    <row r="357" spans="1:1" x14ac:dyDescent="0.3">
      <c r="A357" t="s">
        <v>220</v>
      </c>
    </row>
    <row r="358" spans="1:1" x14ac:dyDescent="0.3">
      <c r="A358" t="s">
        <v>12</v>
      </c>
    </row>
    <row r="359" spans="1:1" x14ac:dyDescent="0.3">
      <c r="A359" t="s">
        <v>290</v>
      </c>
    </row>
    <row r="360" spans="1:1" x14ac:dyDescent="0.3">
      <c r="A360" t="s">
        <v>191</v>
      </c>
    </row>
    <row r="361" spans="1:1" x14ac:dyDescent="0.3">
      <c r="A361" t="s">
        <v>287</v>
      </c>
    </row>
    <row r="362" spans="1:1" x14ac:dyDescent="0.3">
      <c r="A362" t="s">
        <v>273</v>
      </c>
    </row>
    <row r="363" spans="1:1" x14ac:dyDescent="0.3">
      <c r="A363" t="s">
        <v>286</v>
      </c>
    </row>
    <row r="364" spans="1:1" x14ac:dyDescent="0.3">
      <c r="A364" t="s">
        <v>40</v>
      </c>
    </row>
    <row r="365" spans="1:1" x14ac:dyDescent="0.3">
      <c r="A365" t="s">
        <v>122</v>
      </c>
    </row>
    <row r="366" spans="1:1" x14ac:dyDescent="0.3">
      <c r="A366" t="s">
        <v>277</v>
      </c>
    </row>
    <row r="367" spans="1:1" x14ac:dyDescent="0.3">
      <c r="A367" t="s">
        <v>600</v>
      </c>
    </row>
    <row r="368" spans="1:1" x14ac:dyDescent="0.3">
      <c r="A368" t="s">
        <v>551</v>
      </c>
    </row>
    <row r="369" spans="1:1" x14ac:dyDescent="0.3">
      <c r="A369" t="s">
        <v>225</v>
      </c>
    </row>
    <row r="370" spans="1:1" x14ac:dyDescent="0.3">
      <c r="A370" t="s">
        <v>123</v>
      </c>
    </row>
    <row r="371" spans="1:1" x14ac:dyDescent="0.3">
      <c r="A371" t="s">
        <v>189</v>
      </c>
    </row>
    <row r="372" spans="1:1" x14ac:dyDescent="0.3">
      <c r="A372" t="s">
        <v>527</v>
      </c>
    </row>
    <row r="373" spans="1:1" x14ac:dyDescent="0.3">
      <c r="A373" t="s">
        <v>299</v>
      </c>
    </row>
    <row r="374" spans="1:1" x14ac:dyDescent="0.3">
      <c r="A374" t="s">
        <v>549</v>
      </c>
    </row>
    <row r="375" spans="1:1" x14ac:dyDescent="0.3">
      <c r="A375" t="s">
        <v>546</v>
      </c>
    </row>
    <row r="376" spans="1:1" x14ac:dyDescent="0.3">
      <c r="A376" t="s">
        <v>303</v>
      </c>
    </row>
    <row r="377" spans="1:1" x14ac:dyDescent="0.3">
      <c r="A377" t="s">
        <v>99</v>
      </c>
    </row>
    <row r="378" spans="1:1" x14ac:dyDescent="0.3">
      <c r="A378" t="s">
        <v>521</v>
      </c>
    </row>
    <row r="379" spans="1:1" x14ac:dyDescent="0.3">
      <c r="A379" t="s">
        <v>71</v>
      </c>
    </row>
    <row r="380" spans="1:1" x14ac:dyDescent="0.3">
      <c r="A380" t="s">
        <v>627</v>
      </c>
    </row>
    <row r="381" spans="1:1" x14ac:dyDescent="0.3">
      <c r="A381" t="s">
        <v>224</v>
      </c>
    </row>
    <row r="382" spans="1:1" x14ac:dyDescent="0.3">
      <c r="A382" t="s">
        <v>222</v>
      </c>
    </row>
    <row r="383" spans="1:1" x14ac:dyDescent="0.3">
      <c r="A383" t="s">
        <v>285</v>
      </c>
    </row>
    <row r="384" spans="1:1" x14ac:dyDescent="0.3">
      <c r="A384" t="s">
        <v>524</v>
      </c>
    </row>
    <row r="385" spans="1:1" x14ac:dyDescent="0.3">
      <c r="A385" t="s">
        <v>306</v>
      </c>
    </row>
    <row r="386" spans="1:1" x14ac:dyDescent="0.3">
      <c r="A386" t="s">
        <v>295</v>
      </c>
    </row>
    <row r="387" spans="1:1" x14ac:dyDescent="0.3">
      <c r="A387" t="s">
        <v>531</v>
      </c>
    </row>
    <row r="388" spans="1:1" x14ac:dyDescent="0.3">
      <c r="A388" t="s">
        <v>114</v>
      </c>
    </row>
    <row r="389" spans="1:1" x14ac:dyDescent="0.3">
      <c r="A389" t="s">
        <v>523</v>
      </c>
    </row>
    <row r="390" spans="1:1" x14ac:dyDescent="0.3">
      <c r="A390" t="s">
        <v>55</v>
      </c>
    </row>
    <row r="391" spans="1:1" x14ac:dyDescent="0.3">
      <c r="A391" t="s">
        <v>221</v>
      </c>
    </row>
    <row r="392" spans="1:1" x14ac:dyDescent="0.3">
      <c r="A392" t="s">
        <v>228</v>
      </c>
    </row>
    <row r="393" spans="1:1" x14ac:dyDescent="0.3">
      <c r="A393" t="s">
        <v>302</v>
      </c>
    </row>
    <row r="394" spans="1:1" x14ac:dyDescent="0.3">
      <c r="A394" t="s">
        <v>308</v>
      </c>
    </row>
    <row r="395" spans="1:1" x14ac:dyDescent="0.3">
      <c r="A395" t="s">
        <v>129</v>
      </c>
    </row>
    <row r="396" spans="1:1" x14ac:dyDescent="0.3">
      <c r="A396" t="s">
        <v>215</v>
      </c>
    </row>
    <row r="397" spans="1:1" x14ac:dyDescent="0.3">
      <c r="A397" t="s">
        <v>550</v>
      </c>
    </row>
    <row r="398" spans="1:1" x14ac:dyDescent="0.3">
      <c r="A398" t="s">
        <v>229</v>
      </c>
    </row>
    <row r="399" spans="1:1" x14ac:dyDescent="0.3">
      <c r="A399" t="s">
        <v>279</v>
      </c>
    </row>
    <row r="400" spans="1:1" x14ac:dyDescent="0.3">
      <c r="A400" t="s">
        <v>115</v>
      </c>
    </row>
    <row r="401" spans="1:1" x14ac:dyDescent="0.3">
      <c r="A401" t="s">
        <v>522</v>
      </c>
    </row>
    <row r="402" spans="1:1" x14ac:dyDescent="0.3">
      <c r="A402" t="s">
        <v>300</v>
      </c>
    </row>
    <row r="403" spans="1:1" x14ac:dyDescent="0.3">
      <c r="A403" t="s">
        <v>223</v>
      </c>
    </row>
    <row r="404" spans="1:1" x14ac:dyDescent="0.3">
      <c r="A404" t="s">
        <v>9</v>
      </c>
    </row>
    <row r="405" spans="1:1" x14ac:dyDescent="0.3">
      <c r="A405" t="s">
        <v>186</v>
      </c>
    </row>
    <row r="406" spans="1:1" x14ac:dyDescent="0.3">
      <c r="A406" t="s">
        <v>526</v>
      </c>
    </row>
    <row r="407" spans="1:1" x14ac:dyDescent="0.3">
      <c r="A407" t="s">
        <v>548</v>
      </c>
    </row>
    <row r="408" spans="1:1" x14ac:dyDescent="0.3">
      <c r="A408" t="s">
        <v>530</v>
      </c>
    </row>
    <row r="409" spans="1:1" x14ac:dyDescent="0.3">
      <c r="A409" t="s">
        <v>525</v>
      </c>
    </row>
    <row r="410" spans="1:1" x14ac:dyDescent="0.3">
      <c r="A410" t="s">
        <v>226</v>
      </c>
    </row>
    <row r="411" spans="1:1" x14ac:dyDescent="0.3">
      <c r="A411" t="s">
        <v>529</v>
      </c>
    </row>
    <row r="412" spans="1:1" x14ac:dyDescent="0.3">
      <c r="A412" t="s">
        <v>601</v>
      </c>
    </row>
    <row r="413" spans="1:1" x14ac:dyDescent="0.3">
      <c r="A413" t="s">
        <v>301</v>
      </c>
    </row>
    <row r="414" spans="1:1" x14ac:dyDescent="0.3">
      <c r="A414" t="s">
        <v>227</v>
      </c>
    </row>
    <row r="415" spans="1:1" x14ac:dyDescent="0.3">
      <c r="A415" t="s">
        <v>104</v>
      </c>
    </row>
    <row r="416" spans="1:1" x14ac:dyDescent="0.3">
      <c r="A416" t="s">
        <v>547</v>
      </c>
    </row>
    <row r="417" spans="1:1" x14ac:dyDescent="0.3">
      <c r="A417" t="s">
        <v>587</v>
      </c>
    </row>
    <row r="418" spans="1:1" x14ac:dyDescent="0.3">
      <c r="A418" t="s">
        <v>602</v>
      </c>
    </row>
    <row r="419" spans="1:1" x14ac:dyDescent="0.3">
      <c r="A419" t="s">
        <v>304</v>
      </c>
    </row>
    <row r="420" spans="1:1" x14ac:dyDescent="0.3">
      <c r="A420" t="s">
        <v>528</v>
      </c>
    </row>
    <row r="421" spans="1:1" x14ac:dyDescent="0.3">
      <c r="A421" t="s">
        <v>166</v>
      </c>
    </row>
    <row r="422" spans="1:1" x14ac:dyDescent="0.3">
      <c r="A422" t="s">
        <v>615</v>
      </c>
    </row>
    <row r="423" spans="1:1" x14ac:dyDescent="0.3">
      <c r="A423" t="s">
        <v>61</v>
      </c>
    </row>
    <row r="424" spans="1:1" x14ac:dyDescent="0.3">
      <c r="A424" t="s">
        <v>109</v>
      </c>
    </row>
    <row r="425" spans="1:1" x14ac:dyDescent="0.3">
      <c r="A425" t="s">
        <v>41</v>
      </c>
    </row>
    <row r="426" spans="1:1" x14ac:dyDescent="0.3">
      <c r="A426" t="s">
        <v>278</v>
      </c>
    </row>
    <row r="427" spans="1:1" x14ac:dyDescent="0.3">
      <c r="A427" t="s">
        <v>128</v>
      </c>
    </row>
    <row r="428" spans="1:1" x14ac:dyDescent="0.3">
      <c r="A428" t="s">
        <v>307</v>
      </c>
    </row>
    <row r="429" spans="1:1" x14ac:dyDescent="0.3">
      <c r="A429" t="s">
        <v>178</v>
      </c>
    </row>
    <row r="430" spans="1:1" x14ac:dyDescent="0.3">
      <c r="A430" t="s">
        <v>188</v>
      </c>
    </row>
    <row r="431" spans="1:1" x14ac:dyDescent="0.3">
      <c r="A431" t="s">
        <v>520</v>
      </c>
    </row>
    <row r="432" spans="1:1" x14ac:dyDescent="0.3">
      <c r="A432" t="s">
        <v>532</v>
      </c>
    </row>
    <row r="433" spans="1:1" x14ac:dyDescent="0.3">
      <c r="A433" t="s">
        <v>305</v>
      </c>
    </row>
    <row r="434" spans="1:1" x14ac:dyDescent="0.3">
      <c r="A434" t="s">
        <v>190</v>
      </c>
    </row>
    <row r="435" spans="1:1" x14ac:dyDescent="0.3">
      <c r="A435" t="s">
        <v>363</v>
      </c>
    </row>
    <row r="436" spans="1:1" x14ac:dyDescent="0.3">
      <c r="A436" t="s">
        <v>353</v>
      </c>
    </row>
    <row r="437" spans="1:1" x14ac:dyDescent="0.3">
      <c r="A437" t="s">
        <v>351</v>
      </c>
    </row>
    <row r="438" spans="1:1" x14ac:dyDescent="0.3">
      <c r="A438" t="s">
        <v>320</v>
      </c>
    </row>
    <row r="439" spans="1:1" x14ac:dyDescent="0.3">
      <c r="A439" t="s">
        <v>338</v>
      </c>
    </row>
    <row r="440" spans="1:1" x14ac:dyDescent="0.3">
      <c r="A440" t="s">
        <v>342</v>
      </c>
    </row>
    <row r="441" spans="1:1" x14ac:dyDescent="0.3">
      <c r="A441" t="s">
        <v>356</v>
      </c>
    </row>
    <row r="442" spans="1:1" x14ac:dyDescent="0.3">
      <c r="A442" t="s">
        <v>330</v>
      </c>
    </row>
    <row r="443" spans="1:1" x14ac:dyDescent="0.3">
      <c r="A443" t="s">
        <v>291</v>
      </c>
    </row>
    <row r="444" spans="1:1" x14ac:dyDescent="0.3">
      <c r="A444" t="s">
        <v>336</v>
      </c>
    </row>
    <row r="445" spans="1:1" x14ac:dyDescent="0.3">
      <c r="A445" t="s">
        <v>360</v>
      </c>
    </row>
    <row r="446" spans="1:1" x14ac:dyDescent="0.3">
      <c r="A446" t="s">
        <v>362</v>
      </c>
    </row>
    <row r="447" spans="1:1" x14ac:dyDescent="0.3">
      <c r="A447" t="s">
        <v>352</v>
      </c>
    </row>
    <row r="448" spans="1:1" x14ac:dyDescent="0.3">
      <c r="A448" t="s">
        <v>358</v>
      </c>
    </row>
    <row r="449" spans="1:1" x14ac:dyDescent="0.3">
      <c r="A449" t="s">
        <v>335</v>
      </c>
    </row>
    <row r="450" spans="1:1" x14ac:dyDescent="0.3">
      <c r="A450" t="s">
        <v>333</v>
      </c>
    </row>
    <row r="451" spans="1:1" x14ac:dyDescent="0.3">
      <c r="A451" t="s">
        <v>329</v>
      </c>
    </row>
    <row r="452" spans="1:1" x14ac:dyDescent="0.3">
      <c r="A452" t="s">
        <v>346</v>
      </c>
    </row>
    <row r="453" spans="1:1" x14ac:dyDescent="0.3">
      <c r="A453" t="s">
        <v>339</v>
      </c>
    </row>
    <row r="454" spans="1:1" x14ac:dyDescent="0.3">
      <c r="A454" t="s">
        <v>328</v>
      </c>
    </row>
    <row r="455" spans="1:1" x14ac:dyDescent="0.3">
      <c r="A455" t="s">
        <v>357</v>
      </c>
    </row>
    <row r="456" spans="1:1" x14ac:dyDescent="0.3">
      <c r="A456" t="s">
        <v>340</v>
      </c>
    </row>
    <row r="457" spans="1:1" x14ac:dyDescent="0.3">
      <c r="A457" t="s">
        <v>311</v>
      </c>
    </row>
    <row r="458" spans="1:1" x14ac:dyDescent="0.3">
      <c r="A458" t="s">
        <v>337</v>
      </c>
    </row>
    <row r="459" spans="1:1" x14ac:dyDescent="0.3">
      <c r="A459" t="s">
        <v>361</v>
      </c>
    </row>
    <row r="460" spans="1:1" x14ac:dyDescent="0.3">
      <c r="A460" t="s">
        <v>334</v>
      </c>
    </row>
    <row r="461" spans="1:1" x14ac:dyDescent="0.3">
      <c r="A461" t="s">
        <v>349</v>
      </c>
    </row>
    <row r="462" spans="1:1" x14ac:dyDescent="0.3">
      <c r="A462" t="s">
        <v>140</v>
      </c>
    </row>
    <row r="463" spans="1:1" x14ac:dyDescent="0.3">
      <c r="A463" t="s">
        <v>126</v>
      </c>
    </row>
    <row r="464" spans="1:1" x14ac:dyDescent="0.3">
      <c r="A464" t="s">
        <v>345</v>
      </c>
    </row>
    <row r="465" spans="1:1" x14ac:dyDescent="0.3">
      <c r="A465" t="s">
        <v>17</v>
      </c>
    </row>
    <row r="466" spans="1:1" x14ac:dyDescent="0.3">
      <c r="A466" t="s">
        <v>359</v>
      </c>
    </row>
    <row r="467" spans="1:1" x14ac:dyDescent="0.3">
      <c r="A467" t="s">
        <v>458</v>
      </c>
    </row>
    <row r="468" spans="1:1" x14ac:dyDescent="0.3">
      <c r="A468" t="s">
        <v>319</v>
      </c>
    </row>
    <row r="469" spans="1:1" x14ac:dyDescent="0.3">
      <c r="A469" t="s">
        <v>15</v>
      </c>
    </row>
    <row r="470" spans="1:1" x14ac:dyDescent="0.3">
      <c r="A470" t="s">
        <v>332</v>
      </c>
    </row>
    <row r="471" spans="1:1" x14ac:dyDescent="0.3">
      <c r="A471" t="s">
        <v>348</v>
      </c>
    </row>
    <row r="472" spans="1:1" x14ac:dyDescent="0.3">
      <c r="A472" t="s">
        <v>459</v>
      </c>
    </row>
    <row r="473" spans="1:1" x14ac:dyDescent="0.3">
      <c r="A473" t="s">
        <v>355</v>
      </c>
    </row>
    <row r="474" spans="1:1" x14ac:dyDescent="0.3">
      <c r="A474" t="s">
        <v>354</v>
      </c>
    </row>
    <row r="475" spans="1:1" x14ac:dyDescent="0.3">
      <c r="A475" t="s">
        <v>327</v>
      </c>
    </row>
    <row r="476" spans="1:1" x14ac:dyDescent="0.3">
      <c r="A476" t="s">
        <v>344</v>
      </c>
    </row>
    <row r="477" spans="1:1" x14ac:dyDescent="0.3">
      <c r="A477" t="s">
        <v>310</v>
      </c>
    </row>
    <row r="478" spans="1:1" x14ac:dyDescent="0.3">
      <c r="A478" t="s">
        <v>331</v>
      </c>
    </row>
    <row r="479" spans="1:1" x14ac:dyDescent="0.3">
      <c r="A479" t="s">
        <v>350</v>
      </c>
    </row>
    <row r="480" spans="1:1" x14ac:dyDescent="0.3">
      <c r="A480" t="s">
        <v>534</v>
      </c>
    </row>
    <row r="481" spans="1:1" x14ac:dyDescent="0.3">
      <c r="A481" t="s">
        <v>365</v>
      </c>
    </row>
    <row r="482" spans="1:1" x14ac:dyDescent="0.3">
      <c r="A482" t="s">
        <v>539</v>
      </c>
    </row>
    <row r="483" spans="1:1" x14ac:dyDescent="0.3">
      <c r="A483" t="s">
        <v>364</v>
      </c>
    </row>
    <row r="484" spans="1:1" x14ac:dyDescent="0.3">
      <c r="A484" t="s">
        <v>537</v>
      </c>
    </row>
    <row r="485" spans="1:1" x14ac:dyDescent="0.3">
      <c r="A485" t="s">
        <v>538</v>
      </c>
    </row>
    <row r="486" spans="1:1" x14ac:dyDescent="0.3">
      <c r="A486" t="s">
        <v>535</v>
      </c>
    </row>
    <row r="487" spans="1:1" x14ac:dyDescent="0.3">
      <c r="A487" t="s">
        <v>536</v>
      </c>
    </row>
  </sheetData>
  <autoFilter ref="A1:A486" xr:uid="{07B129F0-2061-44B1-8281-6041B6402D4B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73CA-7A35-46AE-BD4C-1316DDA9A60D}">
  <sheetPr filterMode="1"/>
  <dimension ref="A1:F221"/>
  <sheetViews>
    <sheetView workbookViewId="0">
      <selection activeCell="F1" sqref="F1"/>
    </sheetView>
  </sheetViews>
  <sheetFormatPr defaultRowHeight="14.4" x14ac:dyDescent="0.3"/>
  <cols>
    <col min="1" max="1" width="5.6640625" bestFit="1" customWidth="1"/>
    <col min="2" max="2" width="36.109375" bestFit="1" customWidth="1"/>
    <col min="4" max="4" width="31.77734375" style="2" bestFit="1" customWidth="1"/>
  </cols>
  <sheetData>
    <row r="1" spans="1:6" x14ac:dyDescent="0.3">
      <c r="A1" s="18" t="s">
        <v>630</v>
      </c>
      <c r="B1" s="19" t="s">
        <v>631</v>
      </c>
      <c r="D1" s="2" t="s">
        <v>852</v>
      </c>
    </row>
    <row r="2" spans="1:6" hidden="1" x14ac:dyDescent="0.3">
      <c r="A2" s="3">
        <v>102</v>
      </c>
      <c r="B2" s="4" t="s">
        <v>632</v>
      </c>
      <c r="C2" t="str">
        <f>TRIM(A2)</f>
        <v>102</v>
      </c>
      <c r="D2" s="2" t="s">
        <v>853</v>
      </c>
      <c r="F2" t="str">
        <f>VLOOKUP(C2,E7:E199,1,FALSE)</f>
        <v>102</v>
      </c>
    </row>
    <row r="3" spans="1:6" hidden="1" x14ac:dyDescent="0.3">
      <c r="A3" s="3">
        <v>100</v>
      </c>
      <c r="B3" s="4" t="s">
        <v>633</v>
      </c>
      <c r="C3" s="2" t="str">
        <f t="shared" ref="C3:C66" si="0">TRIM(A3)</f>
        <v>100</v>
      </c>
      <c r="D3" s="2" t="s">
        <v>854</v>
      </c>
      <c r="F3" s="2" t="e">
        <f t="shared" ref="F3:F66" si="1">VLOOKUP(C3,E8:E200,1,FALSE)</f>
        <v>#N/A</v>
      </c>
    </row>
    <row r="4" spans="1:6" hidden="1" x14ac:dyDescent="0.3">
      <c r="A4" s="3">
        <v>114</v>
      </c>
      <c r="B4" s="4" t="s">
        <v>634</v>
      </c>
      <c r="C4" s="2" t="str">
        <f t="shared" si="0"/>
        <v>114</v>
      </c>
      <c r="D4" s="2" t="s">
        <v>855</v>
      </c>
      <c r="F4" s="2" t="str">
        <f t="shared" si="1"/>
        <v>114</v>
      </c>
    </row>
    <row r="5" spans="1:6" hidden="1" x14ac:dyDescent="0.3">
      <c r="A5" s="5">
        <v>104</v>
      </c>
      <c r="B5" s="6" t="s">
        <v>635</v>
      </c>
      <c r="C5" s="2" t="str">
        <f t="shared" si="0"/>
        <v>104</v>
      </c>
      <c r="D5" s="2" t="s">
        <v>856</v>
      </c>
      <c r="F5" s="2" t="str">
        <f t="shared" si="1"/>
        <v>104</v>
      </c>
    </row>
    <row r="6" spans="1:6" hidden="1" x14ac:dyDescent="0.3">
      <c r="A6" s="3">
        <v>442</v>
      </c>
      <c r="B6" s="4" t="s">
        <v>636</v>
      </c>
      <c r="C6" s="2" t="str">
        <f t="shared" si="0"/>
        <v>442</v>
      </c>
      <c r="D6" s="2" t="s">
        <v>857</v>
      </c>
      <c r="F6" s="2" t="e">
        <f t="shared" si="1"/>
        <v>#N/A</v>
      </c>
    </row>
    <row r="7" spans="1:6" hidden="1" x14ac:dyDescent="0.3">
      <c r="A7" s="3">
        <v>255</v>
      </c>
      <c r="B7" s="4" t="s">
        <v>637</v>
      </c>
      <c r="C7" s="2" t="str">
        <f t="shared" si="0"/>
        <v>255</v>
      </c>
      <c r="D7" s="2" t="s">
        <v>858</v>
      </c>
      <c r="E7" t="str">
        <f>RIGHT(D7,3)</f>
        <v>100</v>
      </c>
      <c r="F7" s="2" t="e">
        <f t="shared" si="1"/>
        <v>#N/A</v>
      </c>
    </row>
    <row r="8" spans="1:6" hidden="1" x14ac:dyDescent="0.3">
      <c r="A8" s="3">
        <v>109</v>
      </c>
      <c r="B8" s="4" t="s">
        <v>638</v>
      </c>
      <c r="C8" s="2" t="str">
        <f t="shared" si="0"/>
        <v>109</v>
      </c>
      <c r="D8" s="2" t="s">
        <v>859</v>
      </c>
      <c r="E8" s="2" t="str">
        <f t="shared" ref="E8:E71" si="2">RIGHT(D8,3)</f>
        <v>102</v>
      </c>
      <c r="F8" s="2" t="e">
        <f t="shared" si="1"/>
        <v>#N/A</v>
      </c>
    </row>
    <row r="9" spans="1:6" hidden="1" x14ac:dyDescent="0.3">
      <c r="A9" s="3">
        <v>424</v>
      </c>
      <c r="B9" s="4" t="s">
        <v>639</v>
      </c>
      <c r="C9" s="2" t="str">
        <f t="shared" si="0"/>
        <v>424</v>
      </c>
      <c r="D9" s="2" t="s">
        <v>859</v>
      </c>
      <c r="E9" s="2" t="str">
        <f t="shared" si="2"/>
        <v>102</v>
      </c>
      <c r="F9" s="2" t="e">
        <f t="shared" si="1"/>
        <v>#N/A</v>
      </c>
    </row>
    <row r="10" spans="1:6" hidden="1" x14ac:dyDescent="0.3">
      <c r="A10" s="3">
        <v>148</v>
      </c>
      <c r="B10" s="4" t="s">
        <v>640</v>
      </c>
      <c r="C10" s="2" t="str">
        <f t="shared" si="0"/>
        <v>148</v>
      </c>
      <c r="D10" s="2" t="s">
        <v>860</v>
      </c>
      <c r="E10" s="2" t="str">
        <f t="shared" si="2"/>
        <v>103</v>
      </c>
      <c r="F10" s="2" t="str">
        <f t="shared" si="1"/>
        <v>148</v>
      </c>
    </row>
    <row r="11" spans="1:6" hidden="1" x14ac:dyDescent="0.3">
      <c r="A11" s="3">
        <v>515</v>
      </c>
      <c r="B11" s="4" t="s">
        <v>641</v>
      </c>
      <c r="C11" s="2" t="str">
        <f t="shared" si="0"/>
        <v>515</v>
      </c>
      <c r="D11" s="2" t="s">
        <v>861</v>
      </c>
      <c r="E11" s="2" t="str">
        <f t="shared" si="2"/>
        <v>104</v>
      </c>
      <c r="F11" s="2" t="str">
        <f t="shared" si="1"/>
        <v>515</v>
      </c>
    </row>
    <row r="12" spans="1:6" hidden="1" x14ac:dyDescent="0.3">
      <c r="A12" s="3">
        <v>400</v>
      </c>
      <c r="B12" s="4" t="s">
        <v>642</v>
      </c>
      <c r="C12" s="2" t="str">
        <f t="shared" si="0"/>
        <v>400</v>
      </c>
      <c r="D12" s="2" t="s">
        <v>861</v>
      </c>
      <c r="E12" s="2" t="str">
        <f t="shared" si="2"/>
        <v>104</v>
      </c>
      <c r="F12" s="2" t="e">
        <f t="shared" si="1"/>
        <v>#N/A</v>
      </c>
    </row>
    <row r="13" spans="1:6" hidden="1" x14ac:dyDescent="0.3">
      <c r="A13" s="3">
        <v>238</v>
      </c>
      <c r="B13" s="4" t="s">
        <v>643</v>
      </c>
      <c r="C13" s="2" t="str">
        <f t="shared" si="0"/>
        <v>238</v>
      </c>
      <c r="D13" s="2" t="s">
        <v>861</v>
      </c>
      <c r="E13" s="2" t="str">
        <f t="shared" si="2"/>
        <v>104</v>
      </c>
      <c r="F13" s="2" t="e">
        <f t="shared" si="1"/>
        <v>#N/A</v>
      </c>
    </row>
    <row r="14" spans="1:6" hidden="1" x14ac:dyDescent="0.3">
      <c r="A14" s="3">
        <v>226</v>
      </c>
      <c r="B14" s="4" t="s">
        <v>644</v>
      </c>
      <c r="C14" s="2" t="str">
        <f t="shared" si="0"/>
        <v>226</v>
      </c>
      <c r="D14" s="2" t="s">
        <v>861</v>
      </c>
      <c r="E14" s="2" t="str">
        <f t="shared" si="2"/>
        <v>104</v>
      </c>
      <c r="F14" s="2" t="str">
        <f t="shared" si="1"/>
        <v>226</v>
      </c>
    </row>
    <row r="15" spans="1:6" hidden="1" x14ac:dyDescent="0.3">
      <c r="A15" s="3">
        <v>178</v>
      </c>
      <c r="B15" s="4" t="s">
        <v>645</v>
      </c>
      <c r="C15" s="2" t="str">
        <f t="shared" si="0"/>
        <v>178</v>
      </c>
      <c r="D15" s="2" t="s">
        <v>861</v>
      </c>
      <c r="E15" s="2" t="str">
        <f t="shared" si="2"/>
        <v>104</v>
      </c>
      <c r="F15" s="2" t="str">
        <f t="shared" si="1"/>
        <v>178</v>
      </c>
    </row>
    <row r="16" spans="1:6" hidden="1" x14ac:dyDescent="0.3">
      <c r="A16" s="3">
        <v>528</v>
      </c>
      <c r="B16" s="4" t="s">
        <v>646</v>
      </c>
      <c r="C16" s="2" t="str">
        <f t="shared" si="0"/>
        <v>528</v>
      </c>
      <c r="D16" s="2" t="s">
        <v>862</v>
      </c>
      <c r="E16" s="2" t="str">
        <f t="shared" si="2"/>
        <v>108</v>
      </c>
      <c r="F16" s="2" t="e">
        <f t="shared" si="1"/>
        <v>#N/A</v>
      </c>
    </row>
    <row r="17" spans="1:6" hidden="1" x14ac:dyDescent="0.3">
      <c r="A17" s="3">
        <v>529</v>
      </c>
      <c r="B17" s="4" t="s">
        <v>647</v>
      </c>
      <c r="C17" s="2" t="str">
        <f t="shared" si="0"/>
        <v>529</v>
      </c>
      <c r="D17" s="2" t="s">
        <v>863</v>
      </c>
      <c r="E17" s="2" t="str">
        <f t="shared" si="2"/>
        <v>110</v>
      </c>
      <c r="F17" s="2" t="str">
        <f t="shared" si="1"/>
        <v>529</v>
      </c>
    </row>
    <row r="18" spans="1:6" hidden="1" x14ac:dyDescent="0.3">
      <c r="A18" s="3">
        <v>110</v>
      </c>
      <c r="B18" s="4" t="s">
        <v>648</v>
      </c>
      <c r="C18" s="2" t="str">
        <f t="shared" si="0"/>
        <v>110</v>
      </c>
      <c r="D18" s="2" t="s">
        <v>863</v>
      </c>
      <c r="E18" s="2" t="str">
        <f t="shared" si="2"/>
        <v>110</v>
      </c>
      <c r="F18" s="2" t="e">
        <f t="shared" si="1"/>
        <v>#N/A</v>
      </c>
    </row>
    <row r="19" spans="1:6" hidden="1" x14ac:dyDescent="0.3">
      <c r="A19" s="5">
        <v>105</v>
      </c>
      <c r="B19" s="6" t="s">
        <v>649</v>
      </c>
      <c r="C19" s="2" t="str">
        <f t="shared" si="0"/>
        <v>105</v>
      </c>
      <c r="D19" s="2" t="s">
        <v>864</v>
      </c>
      <c r="E19" s="2" t="str">
        <f t="shared" si="2"/>
        <v>111</v>
      </c>
      <c r="F19" s="2" t="e">
        <f t="shared" si="1"/>
        <v>#N/A</v>
      </c>
    </row>
    <row r="20" spans="1:6" hidden="1" x14ac:dyDescent="0.3">
      <c r="A20" s="3">
        <v>116</v>
      </c>
      <c r="B20" s="4" t="s">
        <v>650</v>
      </c>
      <c r="C20" s="2" t="str">
        <f t="shared" si="0"/>
        <v>116</v>
      </c>
      <c r="D20" s="2" t="s">
        <v>865</v>
      </c>
      <c r="E20" s="2" t="str">
        <f t="shared" si="2"/>
        <v>112</v>
      </c>
      <c r="F20" s="2" t="e">
        <f t="shared" si="1"/>
        <v>#N/A</v>
      </c>
    </row>
    <row r="21" spans="1:6" hidden="1" x14ac:dyDescent="0.3">
      <c r="A21" s="3">
        <v>231</v>
      </c>
      <c r="B21" s="4" t="s">
        <v>651</v>
      </c>
      <c r="C21" s="2" t="str">
        <f t="shared" si="0"/>
        <v>231</v>
      </c>
      <c r="D21" s="2" t="s">
        <v>866</v>
      </c>
      <c r="E21" s="2" t="str">
        <f t="shared" si="2"/>
        <v>114</v>
      </c>
      <c r="F21" s="2" t="str">
        <f t="shared" si="1"/>
        <v>231</v>
      </c>
    </row>
    <row r="22" spans="1:6" hidden="1" x14ac:dyDescent="0.3">
      <c r="A22" s="3">
        <v>152</v>
      </c>
      <c r="B22" s="4" t="s">
        <v>652</v>
      </c>
      <c r="C22" s="2" t="str">
        <f t="shared" si="0"/>
        <v>152</v>
      </c>
      <c r="D22" s="2" t="s">
        <v>867</v>
      </c>
      <c r="E22" s="2" t="str">
        <f t="shared" si="2"/>
        <v>115</v>
      </c>
      <c r="F22" s="2" t="str">
        <f t="shared" si="1"/>
        <v>152</v>
      </c>
    </row>
    <row r="23" spans="1:6" hidden="1" x14ac:dyDescent="0.3">
      <c r="A23" s="3">
        <v>514</v>
      </c>
      <c r="B23" s="4" t="s">
        <v>653</v>
      </c>
      <c r="C23" s="2" t="str">
        <f t="shared" si="0"/>
        <v>514</v>
      </c>
      <c r="D23" s="2" t="s">
        <v>868</v>
      </c>
      <c r="E23" s="2" t="str">
        <f t="shared" si="2"/>
        <v>116</v>
      </c>
      <c r="F23" s="2" t="str">
        <f t="shared" si="1"/>
        <v>514</v>
      </c>
    </row>
    <row r="24" spans="1:6" hidden="1" x14ac:dyDescent="0.3">
      <c r="A24" s="3">
        <v>456</v>
      </c>
      <c r="B24" s="11" t="s">
        <v>654</v>
      </c>
      <c r="C24" s="2" t="str">
        <f t="shared" si="0"/>
        <v>456</v>
      </c>
      <c r="D24" s="2" t="s">
        <v>869</v>
      </c>
      <c r="E24" s="2" t="str">
        <f t="shared" si="2"/>
        <v>117</v>
      </c>
      <c r="F24" s="2" t="str">
        <f t="shared" si="1"/>
        <v>456</v>
      </c>
    </row>
    <row r="25" spans="1:6" hidden="1" x14ac:dyDescent="0.3">
      <c r="A25" s="3">
        <v>169</v>
      </c>
      <c r="B25" s="4" t="s">
        <v>655</v>
      </c>
      <c r="C25" s="2" t="str">
        <f t="shared" si="0"/>
        <v>169</v>
      </c>
      <c r="D25" s="2" t="s">
        <v>869</v>
      </c>
      <c r="E25" s="2" t="str">
        <f t="shared" si="2"/>
        <v>117</v>
      </c>
      <c r="F25" s="2" t="str">
        <f t="shared" si="1"/>
        <v>169</v>
      </c>
    </row>
    <row r="26" spans="1:6" hidden="1" x14ac:dyDescent="0.3">
      <c r="A26" s="3">
        <v>140</v>
      </c>
      <c r="B26" s="4" t="s">
        <v>656</v>
      </c>
      <c r="C26" s="2" t="str">
        <f t="shared" si="0"/>
        <v>140</v>
      </c>
      <c r="D26" s="2" t="s">
        <v>869</v>
      </c>
      <c r="E26" s="2" t="str">
        <f t="shared" si="2"/>
        <v>117</v>
      </c>
      <c r="F26" s="2" t="str">
        <f t="shared" si="1"/>
        <v>140</v>
      </c>
    </row>
    <row r="27" spans="1:6" hidden="1" x14ac:dyDescent="0.3">
      <c r="A27" s="3">
        <v>156</v>
      </c>
      <c r="B27" s="4" t="s">
        <v>657</v>
      </c>
      <c r="C27" s="2" t="str">
        <f t="shared" si="0"/>
        <v>156</v>
      </c>
      <c r="D27" s="2" t="s">
        <v>869</v>
      </c>
      <c r="E27" s="2" t="str">
        <f t="shared" si="2"/>
        <v>117</v>
      </c>
      <c r="F27" s="2" t="str">
        <f t="shared" si="1"/>
        <v>156</v>
      </c>
    </row>
    <row r="28" spans="1:6" hidden="1" x14ac:dyDescent="0.3">
      <c r="A28" s="3">
        <v>125</v>
      </c>
      <c r="B28" s="4" t="s">
        <v>658</v>
      </c>
      <c r="C28" s="2" t="str">
        <f t="shared" si="0"/>
        <v>125</v>
      </c>
      <c r="D28" s="2" t="s">
        <v>870</v>
      </c>
      <c r="E28" s="2" t="str">
        <f t="shared" si="2"/>
        <v>120</v>
      </c>
      <c r="F28" s="2" t="str">
        <f t="shared" si="1"/>
        <v>125</v>
      </c>
    </row>
    <row r="29" spans="1:6" hidden="1" x14ac:dyDescent="0.3">
      <c r="A29" s="10">
        <v>122</v>
      </c>
      <c r="B29" s="11" t="s">
        <v>659</v>
      </c>
      <c r="C29" s="2" t="str">
        <f t="shared" si="0"/>
        <v>122</v>
      </c>
      <c r="D29" s="2" t="s">
        <v>871</v>
      </c>
      <c r="E29" s="2" t="str">
        <f t="shared" si="2"/>
        <v>121</v>
      </c>
      <c r="F29" s="2" t="e">
        <f t="shared" si="1"/>
        <v>#N/A</v>
      </c>
    </row>
    <row r="30" spans="1:6" hidden="1" x14ac:dyDescent="0.3">
      <c r="A30" s="3">
        <v>128</v>
      </c>
      <c r="B30" s="4" t="s">
        <v>660</v>
      </c>
      <c r="C30" s="2" t="str">
        <f t="shared" si="0"/>
        <v>128</v>
      </c>
      <c r="D30" s="2" t="s">
        <v>872</v>
      </c>
      <c r="E30" s="2" t="str">
        <f t="shared" si="2"/>
        <v>122</v>
      </c>
      <c r="F30" s="2" t="str">
        <f t="shared" si="1"/>
        <v>128</v>
      </c>
    </row>
    <row r="31" spans="1:6" hidden="1" x14ac:dyDescent="0.3">
      <c r="A31" s="3">
        <v>227</v>
      </c>
      <c r="B31" s="4" t="s">
        <v>661</v>
      </c>
      <c r="C31" s="2" t="str">
        <f t="shared" si="0"/>
        <v>227</v>
      </c>
      <c r="D31" s="2" t="s">
        <v>872</v>
      </c>
      <c r="E31" s="2" t="str">
        <f t="shared" si="2"/>
        <v>122</v>
      </c>
      <c r="F31" s="2" t="str">
        <f t="shared" si="1"/>
        <v>227</v>
      </c>
    </row>
    <row r="32" spans="1:6" hidden="1" x14ac:dyDescent="0.3">
      <c r="A32" s="3">
        <v>172</v>
      </c>
      <c r="B32" s="4" t="s">
        <v>662</v>
      </c>
      <c r="C32" s="2" t="str">
        <f t="shared" si="0"/>
        <v>172</v>
      </c>
      <c r="D32" s="2" t="s">
        <v>873</v>
      </c>
      <c r="E32" s="2" t="str">
        <f t="shared" si="2"/>
        <v>123</v>
      </c>
      <c r="F32" s="2" t="str">
        <f t="shared" si="1"/>
        <v>172</v>
      </c>
    </row>
    <row r="33" spans="1:6" hidden="1" x14ac:dyDescent="0.3">
      <c r="A33" s="8">
        <v>130</v>
      </c>
      <c r="B33" s="9" t="s">
        <v>663</v>
      </c>
      <c r="C33" s="2" t="str">
        <f t="shared" si="0"/>
        <v>130</v>
      </c>
      <c r="D33" s="2" t="s">
        <v>874</v>
      </c>
      <c r="E33" s="2" t="str">
        <f t="shared" si="2"/>
        <v>125</v>
      </c>
      <c r="F33" s="2" t="str">
        <f t="shared" si="1"/>
        <v>130</v>
      </c>
    </row>
    <row r="34" spans="1:6" hidden="1" x14ac:dyDescent="0.3">
      <c r="A34" s="3">
        <v>164</v>
      </c>
      <c r="B34" s="4" t="s">
        <v>664</v>
      </c>
      <c r="C34" s="2" t="str">
        <f t="shared" si="0"/>
        <v>164</v>
      </c>
      <c r="D34" s="2" t="s">
        <v>875</v>
      </c>
      <c r="E34" s="2" t="str">
        <f t="shared" si="2"/>
        <v>126</v>
      </c>
      <c r="F34" s="2" t="str">
        <f t="shared" si="1"/>
        <v>164</v>
      </c>
    </row>
    <row r="35" spans="1:6" hidden="1" x14ac:dyDescent="0.3">
      <c r="A35" s="3">
        <v>562</v>
      </c>
      <c r="B35" s="4" t="s">
        <v>665</v>
      </c>
      <c r="C35" s="2" t="str">
        <f t="shared" si="0"/>
        <v>562</v>
      </c>
      <c r="D35" s="2" t="s">
        <v>876</v>
      </c>
      <c r="E35" s="2" t="str">
        <f t="shared" si="2"/>
        <v>127</v>
      </c>
      <c r="F35" s="2" t="str">
        <f t="shared" si="1"/>
        <v>562</v>
      </c>
    </row>
    <row r="36" spans="1:6" hidden="1" x14ac:dyDescent="0.3">
      <c r="A36" s="3">
        <v>170</v>
      </c>
      <c r="B36" s="4" t="s">
        <v>666</v>
      </c>
      <c r="C36" s="2" t="str">
        <f t="shared" si="0"/>
        <v>170</v>
      </c>
      <c r="D36" s="2" t="s">
        <v>876</v>
      </c>
      <c r="E36" s="2" t="str">
        <f t="shared" si="2"/>
        <v>127</v>
      </c>
      <c r="F36" s="2" t="str">
        <f t="shared" si="1"/>
        <v>170</v>
      </c>
    </row>
    <row r="37" spans="1:6" hidden="1" x14ac:dyDescent="0.3">
      <c r="A37" s="3">
        <v>554</v>
      </c>
      <c r="B37" s="4" t="s">
        <v>667</v>
      </c>
      <c r="C37" s="2" t="str">
        <f t="shared" si="0"/>
        <v>554</v>
      </c>
      <c r="D37" s="2" t="s">
        <v>876</v>
      </c>
      <c r="E37" s="2" t="str">
        <f t="shared" si="2"/>
        <v>127</v>
      </c>
      <c r="F37" s="2" t="str">
        <f t="shared" si="1"/>
        <v>554</v>
      </c>
    </row>
    <row r="38" spans="1:6" hidden="1" x14ac:dyDescent="0.3">
      <c r="A38" s="5">
        <v>120</v>
      </c>
      <c r="B38" s="6" t="s">
        <v>668</v>
      </c>
      <c r="C38" s="2" t="str">
        <f t="shared" si="0"/>
        <v>120</v>
      </c>
      <c r="D38" s="2" t="s">
        <v>877</v>
      </c>
      <c r="E38" s="2" t="str">
        <f t="shared" si="2"/>
        <v>128</v>
      </c>
      <c r="F38" s="2" t="e">
        <f t="shared" si="1"/>
        <v>#N/A</v>
      </c>
    </row>
    <row r="39" spans="1:6" hidden="1" x14ac:dyDescent="0.3">
      <c r="A39" s="3">
        <v>158</v>
      </c>
      <c r="B39" s="4" t="s">
        <v>669</v>
      </c>
      <c r="C39" s="2" t="str">
        <f t="shared" si="0"/>
        <v>158</v>
      </c>
      <c r="D39" s="2" t="s">
        <v>878</v>
      </c>
      <c r="E39" s="2" t="str">
        <f t="shared" si="2"/>
        <v>130</v>
      </c>
      <c r="F39" s="2" t="str">
        <f t="shared" si="1"/>
        <v>158</v>
      </c>
    </row>
    <row r="40" spans="1:6" hidden="1" x14ac:dyDescent="0.3">
      <c r="A40" s="3">
        <v>216</v>
      </c>
      <c r="B40" s="4" t="s">
        <v>670</v>
      </c>
      <c r="C40" s="2" t="str">
        <f t="shared" si="0"/>
        <v>216</v>
      </c>
      <c r="D40" s="2" t="s">
        <v>879</v>
      </c>
      <c r="E40" s="2" t="str">
        <f t="shared" si="2"/>
        <v>132</v>
      </c>
      <c r="F40" s="2" t="str">
        <f t="shared" si="1"/>
        <v>216</v>
      </c>
    </row>
    <row r="41" spans="1:6" hidden="1" x14ac:dyDescent="0.3">
      <c r="A41" s="3">
        <v>426</v>
      </c>
      <c r="B41" s="4" t="s">
        <v>671</v>
      </c>
      <c r="C41" s="2" t="str">
        <f t="shared" si="0"/>
        <v>426</v>
      </c>
      <c r="D41" s="2" t="s">
        <v>880</v>
      </c>
      <c r="E41" s="2" t="str">
        <f t="shared" si="2"/>
        <v>133</v>
      </c>
      <c r="F41" s="2" t="str">
        <f t="shared" si="1"/>
        <v>426</v>
      </c>
    </row>
    <row r="42" spans="1:6" hidden="1" x14ac:dyDescent="0.3">
      <c r="A42" s="5">
        <v>112</v>
      </c>
      <c r="B42" s="6" t="s">
        <v>672</v>
      </c>
      <c r="C42" s="2" t="str">
        <f t="shared" si="0"/>
        <v>112</v>
      </c>
      <c r="D42" s="2" t="s">
        <v>880</v>
      </c>
      <c r="E42" s="2" t="str">
        <f t="shared" si="2"/>
        <v>133</v>
      </c>
      <c r="F42" s="2" t="e">
        <f t="shared" si="1"/>
        <v>#N/A</v>
      </c>
    </row>
    <row r="43" spans="1:6" hidden="1" x14ac:dyDescent="0.3">
      <c r="A43" s="3">
        <v>414</v>
      </c>
      <c r="B43" s="4" t="s">
        <v>673</v>
      </c>
      <c r="C43" s="2" t="str">
        <f t="shared" si="0"/>
        <v>414</v>
      </c>
      <c r="D43" s="2" t="s">
        <v>880</v>
      </c>
      <c r="E43" s="2" t="str">
        <f t="shared" si="2"/>
        <v>133</v>
      </c>
      <c r="F43" s="2" t="str">
        <f t="shared" si="1"/>
        <v>414</v>
      </c>
    </row>
    <row r="44" spans="1:6" hidden="1" x14ac:dyDescent="0.3">
      <c r="A44" s="3">
        <v>517</v>
      </c>
      <c r="B44" s="4" t="s">
        <v>674</v>
      </c>
      <c r="C44" s="2" t="str">
        <f t="shared" si="0"/>
        <v>517</v>
      </c>
      <c r="D44" s="2" t="s">
        <v>881</v>
      </c>
      <c r="E44" s="2" t="str">
        <f t="shared" si="2"/>
        <v>134</v>
      </c>
      <c r="F44" s="2" t="str">
        <f t="shared" si="1"/>
        <v>517</v>
      </c>
    </row>
    <row r="45" spans="1:6" hidden="1" x14ac:dyDescent="0.3">
      <c r="A45" s="3">
        <v>430</v>
      </c>
      <c r="B45" s="4" t="s">
        <v>675</v>
      </c>
      <c r="C45" s="2" t="str">
        <f t="shared" si="0"/>
        <v>430</v>
      </c>
      <c r="D45" s="2" t="s">
        <v>881</v>
      </c>
      <c r="E45" s="2" t="str">
        <f t="shared" si="2"/>
        <v>134</v>
      </c>
      <c r="F45" s="2" t="e">
        <f t="shared" si="1"/>
        <v>#N/A</v>
      </c>
    </row>
    <row r="46" spans="1:6" hidden="1" x14ac:dyDescent="0.3">
      <c r="A46" s="3">
        <v>207</v>
      </c>
      <c r="B46" s="4" t="s">
        <v>676</v>
      </c>
      <c r="C46" s="2" t="str">
        <f t="shared" si="0"/>
        <v>207</v>
      </c>
      <c r="D46" s="2" t="s">
        <v>882</v>
      </c>
      <c r="E46" s="2" t="str">
        <f t="shared" si="2"/>
        <v>136</v>
      </c>
      <c r="F46" s="2" t="str">
        <f t="shared" si="1"/>
        <v>207</v>
      </c>
    </row>
    <row r="47" spans="1:6" hidden="1" x14ac:dyDescent="0.3">
      <c r="A47" s="3">
        <v>550</v>
      </c>
      <c r="B47" s="4" t="s">
        <v>677</v>
      </c>
      <c r="C47" s="2" t="str">
        <f t="shared" si="0"/>
        <v>550</v>
      </c>
      <c r="D47" s="2" t="s">
        <v>882</v>
      </c>
      <c r="E47" s="2" t="str">
        <f t="shared" si="2"/>
        <v>136</v>
      </c>
      <c r="F47" s="2" t="str">
        <f t="shared" si="1"/>
        <v>550</v>
      </c>
    </row>
    <row r="48" spans="1:6" hidden="1" x14ac:dyDescent="0.3">
      <c r="A48" s="3">
        <v>160</v>
      </c>
      <c r="B48" s="4" t="s">
        <v>678</v>
      </c>
      <c r="C48" s="2" t="str">
        <f t="shared" si="0"/>
        <v>160</v>
      </c>
      <c r="D48" s="2" t="s">
        <v>883</v>
      </c>
      <c r="E48" s="2" t="str">
        <f t="shared" si="2"/>
        <v>138</v>
      </c>
      <c r="F48" s="2" t="str">
        <f t="shared" si="1"/>
        <v>160</v>
      </c>
    </row>
    <row r="49" spans="1:6" hidden="1" x14ac:dyDescent="0.3">
      <c r="A49" s="3">
        <v>166</v>
      </c>
      <c r="B49" s="4" t="s">
        <v>679</v>
      </c>
      <c r="C49" s="2" t="str">
        <f t="shared" si="0"/>
        <v>166</v>
      </c>
      <c r="D49" s="2" t="s">
        <v>884</v>
      </c>
      <c r="E49" s="2" t="str">
        <f t="shared" si="2"/>
        <v>140</v>
      </c>
      <c r="F49" s="2" t="str">
        <f t="shared" si="1"/>
        <v>166</v>
      </c>
    </row>
    <row r="50" spans="1:6" hidden="1" x14ac:dyDescent="0.3">
      <c r="A50" s="10">
        <v>123</v>
      </c>
      <c r="B50" s="11" t="s">
        <v>680</v>
      </c>
      <c r="C50" s="2" t="str">
        <f t="shared" si="0"/>
        <v>123</v>
      </c>
      <c r="D50" s="2" t="s">
        <v>885</v>
      </c>
      <c r="E50" s="2" t="str">
        <f t="shared" si="2"/>
        <v>142</v>
      </c>
      <c r="F50" s="2" t="e">
        <f t="shared" si="1"/>
        <v>#N/A</v>
      </c>
    </row>
    <row r="51" spans="1:6" hidden="1" x14ac:dyDescent="0.3">
      <c r="A51" s="12">
        <v>124</v>
      </c>
      <c r="B51" s="13" t="s">
        <v>681</v>
      </c>
      <c r="C51" s="2" t="str">
        <f t="shared" si="0"/>
        <v>124</v>
      </c>
      <c r="D51" s="2" t="s">
        <v>886</v>
      </c>
      <c r="E51" s="2" t="str">
        <f t="shared" si="2"/>
        <v>144</v>
      </c>
      <c r="F51" s="2" t="e">
        <f t="shared" si="1"/>
        <v>#N/A</v>
      </c>
    </row>
    <row r="52" spans="1:6" hidden="1" x14ac:dyDescent="0.3">
      <c r="A52" s="5">
        <v>117</v>
      </c>
      <c r="B52" s="6" t="s">
        <v>682</v>
      </c>
      <c r="C52" s="2" t="str">
        <f t="shared" si="0"/>
        <v>117</v>
      </c>
      <c r="D52" s="2" t="s">
        <v>887</v>
      </c>
      <c r="E52" s="2" t="str">
        <f t="shared" si="2"/>
        <v>146</v>
      </c>
      <c r="F52" s="2" t="e">
        <f t="shared" si="1"/>
        <v>#N/A</v>
      </c>
    </row>
    <row r="53" spans="1:6" hidden="1" x14ac:dyDescent="0.3">
      <c r="A53" s="3">
        <v>364</v>
      </c>
      <c r="B53" s="4" t="s">
        <v>683</v>
      </c>
      <c r="C53" s="2" t="str">
        <f t="shared" si="0"/>
        <v>364</v>
      </c>
      <c r="D53" s="2" t="s">
        <v>888</v>
      </c>
      <c r="E53" s="2" t="str">
        <f t="shared" si="2"/>
        <v>148</v>
      </c>
      <c r="F53" s="2" t="str">
        <f t="shared" si="1"/>
        <v>364</v>
      </c>
    </row>
    <row r="54" spans="1:6" hidden="1" x14ac:dyDescent="0.3">
      <c r="A54" s="3">
        <v>258</v>
      </c>
      <c r="B54" s="4" t="s">
        <v>684</v>
      </c>
      <c r="C54" s="2" t="str">
        <f t="shared" si="0"/>
        <v>258</v>
      </c>
      <c r="D54" s="2" t="s">
        <v>889</v>
      </c>
      <c r="E54" s="2" t="str">
        <f t="shared" si="2"/>
        <v>150</v>
      </c>
      <c r="F54" s="2" t="str">
        <f t="shared" si="1"/>
        <v>258</v>
      </c>
    </row>
    <row r="55" spans="1:6" hidden="1" x14ac:dyDescent="0.3">
      <c r="A55" s="3">
        <v>350</v>
      </c>
      <c r="B55" s="11" t="s">
        <v>685</v>
      </c>
      <c r="C55" s="2" t="str">
        <f t="shared" si="0"/>
        <v>350</v>
      </c>
      <c r="D55" s="2" t="s">
        <v>889</v>
      </c>
      <c r="E55" s="2" t="str">
        <f t="shared" si="2"/>
        <v>150</v>
      </c>
      <c r="F55" s="2" t="str">
        <f t="shared" si="1"/>
        <v>350</v>
      </c>
    </row>
    <row r="56" spans="1:6" hidden="1" x14ac:dyDescent="0.3">
      <c r="A56" s="5">
        <v>115</v>
      </c>
      <c r="B56" s="6" t="s">
        <v>686</v>
      </c>
      <c r="C56" s="2" t="str">
        <f t="shared" si="0"/>
        <v>115</v>
      </c>
      <c r="D56" s="2" t="s">
        <v>890</v>
      </c>
      <c r="E56" s="2" t="str">
        <f t="shared" si="2"/>
        <v>152</v>
      </c>
      <c r="F56" s="2" t="e">
        <f t="shared" si="1"/>
        <v>#N/A</v>
      </c>
    </row>
    <row r="57" spans="1:6" hidden="1" x14ac:dyDescent="0.3">
      <c r="A57" s="3">
        <v>412</v>
      </c>
      <c r="B57" s="4" t="s">
        <v>687</v>
      </c>
      <c r="C57" s="2" t="str">
        <f t="shared" si="0"/>
        <v>412</v>
      </c>
      <c r="D57" s="2" t="s">
        <v>891</v>
      </c>
      <c r="E57" s="2" t="str">
        <f t="shared" si="2"/>
        <v>153</v>
      </c>
      <c r="F57" s="2" t="str">
        <f t="shared" si="1"/>
        <v>412</v>
      </c>
    </row>
    <row r="58" spans="1:6" hidden="1" x14ac:dyDescent="0.3">
      <c r="A58" s="3">
        <v>540</v>
      </c>
      <c r="B58" s="4" t="s">
        <v>688</v>
      </c>
      <c r="C58" s="2" t="str">
        <f t="shared" si="0"/>
        <v>540</v>
      </c>
      <c r="D58" s="2" t="s">
        <v>892</v>
      </c>
      <c r="E58" s="2" t="str">
        <f t="shared" si="2"/>
        <v>154</v>
      </c>
      <c r="F58" s="2" t="str">
        <f t="shared" si="1"/>
        <v>540</v>
      </c>
    </row>
    <row r="59" spans="1:6" hidden="1" x14ac:dyDescent="0.3">
      <c r="A59" s="3">
        <v>256</v>
      </c>
      <c r="B59" s="4" t="s">
        <v>689</v>
      </c>
      <c r="C59" s="2" t="str">
        <f t="shared" si="0"/>
        <v>256</v>
      </c>
      <c r="D59" s="2" t="s">
        <v>892</v>
      </c>
      <c r="E59" s="2" t="str">
        <f t="shared" si="2"/>
        <v>154</v>
      </c>
      <c r="F59" s="2" t="str">
        <f t="shared" si="1"/>
        <v>256</v>
      </c>
    </row>
    <row r="60" spans="1:6" hidden="1" x14ac:dyDescent="0.3">
      <c r="A60" s="3">
        <v>498</v>
      </c>
      <c r="B60" s="11" t="s">
        <v>690</v>
      </c>
      <c r="C60" s="2" t="str">
        <f t="shared" si="0"/>
        <v>498</v>
      </c>
      <c r="D60" s="2" t="s">
        <v>893</v>
      </c>
      <c r="E60" s="2" t="str">
        <f t="shared" si="2"/>
        <v>156</v>
      </c>
      <c r="F60" s="2" t="e">
        <f t="shared" si="1"/>
        <v>#N/A</v>
      </c>
    </row>
    <row r="61" spans="1:6" hidden="1" x14ac:dyDescent="0.3">
      <c r="A61" s="3">
        <v>575</v>
      </c>
      <c r="B61" s="11" t="s">
        <v>691</v>
      </c>
      <c r="C61" s="2" t="str">
        <f t="shared" si="0"/>
        <v>575</v>
      </c>
      <c r="D61" s="2" t="s">
        <v>894</v>
      </c>
      <c r="E61" s="2" t="str">
        <f t="shared" si="2"/>
        <v>158</v>
      </c>
      <c r="F61" s="2" t="e">
        <f t="shared" si="1"/>
        <v>#N/A</v>
      </c>
    </row>
    <row r="62" spans="1:6" hidden="1" x14ac:dyDescent="0.3">
      <c r="A62" s="3">
        <v>127</v>
      </c>
      <c r="B62" s="4" t="s">
        <v>692</v>
      </c>
      <c r="C62" s="2" t="str">
        <f t="shared" si="0"/>
        <v>127</v>
      </c>
      <c r="D62" s="2" t="s">
        <v>895</v>
      </c>
      <c r="E62" s="2" t="str">
        <f t="shared" si="2"/>
        <v>160</v>
      </c>
      <c r="F62" s="2" t="e">
        <f t="shared" si="1"/>
        <v>#N/A</v>
      </c>
    </row>
    <row r="63" spans="1:6" hidden="1" x14ac:dyDescent="0.3">
      <c r="A63" s="3">
        <v>520</v>
      </c>
      <c r="B63" s="4" t="s">
        <v>693</v>
      </c>
      <c r="C63" s="2" t="str">
        <f t="shared" si="0"/>
        <v>520</v>
      </c>
      <c r="D63" s="2" t="s">
        <v>896</v>
      </c>
      <c r="E63" s="2" t="str">
        <f t="shared" si="2"/>
        <v>162</v>
      </c>
      <c r="F63" s="2" t="str">
        <f t="shared" si="1"/>
        <v>520</v>
      </c>
    </row>
    <row r="64" spans="1:6" hidden="1" x14ac:dyDescent="0.3">
      <c r="A64" s="3">
        <v>136</v>
      </c>
      <c r="B64" s="4" t="s">
        <v>694</v>
      </c>
      <c r="C64" s="2" t="str">
        <f t="shared" si="0"/>
        <v>136</v>
      </c>
      <c r="D64" s="2" t="s">
        <v>897</v>
      </c>
      <c r="E64" s="2" t="str">
        <f t="shared" si="2"/>
        <v>164</v>
      </c>
      <c r="F64" s="2" t="e">
        <f t="shared" si="1"/>
        <v>#N/A</v>
      </c>
    </row>
    <row r="65" spans="1:6" hidden="1" x14ac:dyDescent="0.3">
      <c r="A65" s="3">
        <v>126</v>
      </c>
      <c r="B65" s="4" t="s">
        <v>695</v>
      </c>
      <c r="C65" s="2" t="str">
        <f t="shared" si="0"/>
        <v>126</v>
      </c>
      <c r="D65" s="2" t="s">
        <v>898</v>
      </c>
      <c r="E65" s="2" t="str">
        <f t="shared" si="2"/>
        <v>166</v>
      </c>
      <c r="F65" s="2" t="e">
        <f t="shared" si="1"/>
        <v>#N/A</v>
      </c>
    </row>
    <row r="66" spans="1:6" hidden="1" x14ac:dyDescent="0.3">
      <c r="A66" s="3">
        <v>146</v>
      </c>
      <c r="B66" s="4" t="s">
        <v>696</v>
      </c>
      <c r="C66" s="2" t="str">
        <f t="shared" si="0"/>
        <v>146</v>
      </c>
      <c r="D66" s="2" t="s">
        <v>898</v>
      </c>
      <c r="E66" s="2" t="str">
        <f t="shared" si="2"/>
        <v>166</v>
      </c>
      <c r="F66" s="2" t="e">
        <f t="shared" si="1"/>
        <v>#N/A</v>
      </c>
    </row>
    <row r="67" spans="1:6" hidden="1" x14ac:dyDescent="0.3">
      <c r="A67" s="3">
        <v>168</v>
      </c>
      <c r="B67" s="4" t="s">
        <v>697</v>
      </c>
      <c r="C67" s="2" t="str">
        <f t="shared" ref="C67:C130" si="3">TRIM(A67)</f>
        <v>168</v>
      </c>
      <c r="D67" s="2" t="s">
        <v>899</v>
      </c>
      <c r="E67" s="2" t="str">
        <f t="shared" si="2"/>
        <v>168</v>
      </c>
      <c r="F67" s="2" t="e">
        <f t="shared" ref="F67:F130" si="4">VLOOKUP(C67,E72:E264,1,FALSE)</f>
        <v>#N/A</v>
      </c>
    </row>
    <row r="68" spans="1:6" hidden="1" x14ac:dyDescent="0.3">
      <c r="A68" s="3">
        <v>650</v>
      </c>
      <c r="B68" s="4" t="s">
        <v>698</v>
      </c>
      <c r="C68" s="2" t="str">
        <f t="shared" si="3"/>
        <v>650</v>
      </c>
      <c r="D68" s="2" t="s">
        <v>899</v>
      </c>
      <c r="E68" s="2" t="str">
        <f t="shared" si="2"/>
        <v>168</v>
      </c>
      <c r="F68" s="2" t="str">
        <f t="shared" si="4"/>
        <v>650</v>
      </c>
    </row>
    <row r="69" spans="1:6" hidden="1" x14ac:dyDescent="0.3">
      <c r="A69" s="3">
        <v>214</v>
      </c>
      <c r="B69" s="4" t="s">
        <v>699</v>
      </c>
      <c r="C69" s="2" t="str">
        <f t="shared" si="3"/>
        <v>214</v>
      </c>
      <c r="D69" s="2" t="s">
        <v>900</v>
      </c>
      <c r="E69" s="2" t="str">
        <f t="shared" si="2"/>
        <v>169</v>
      </c>
      <c r="F69" s="2" t="str">
        <f t="shared" si="4"/>
        <v>214</v>
      </c>
    </row>
    <row r="70" spans="1:6" hidden="1" x14ac:dyDescent="0.3">
      <c r="A70" s="3">
        <v>162</v>
      </c>
      <c r="B70" s="4" t="s">
        <v>700</v>
      </c>
      <c r="C70" s="2" t="str">
        <f t="shared" si="3"/>
        <v>162</v>
      </c>
      <c r="D70" s="2" t="s">
        <v>900</v>
      </c>
      <c r="E70" s="2" t="str">
        <f t="shared" si="2"/>
        <v>169</v>
      </c>
      <c r="F70" s="2" t="e">
        <f t="shared" si="4"/>
        <v>#N/A</v>
      </c>
    </row>
    <row r="71" spans="1:6" hidden="1" x14ac:dyDescent="0.3">
      <c r="A71" s="3">
        <v>404</v>
      </c>
      <c r="B71" s="4" t="s">
        <v>701</v>
      </c>
      <c r="C71" s="2" t="str">
        <f t="shared" si="3"/>
        <v>404</v>
      </c>
      <c r="D71" s="2" t="s">
        <v>901</v>
      </c>
      <c r="E71" s="2" t="str">
        <f t="shared" si="2"/>
        <v>170</v>
      </c>
      <c r="F71" s="2" t="str">
        <f t="shared" si="4"/>
        <v>404</v>
      </c>
    </row>
    <row r="72" spans="1:6" hidden="1" x14ac:dyDescent="0.3">
      <c r="A72" s="3">
        <v>409</v>
      </c>
      <c r="B72" s="4" t="s">
        <v>702</v>
      </c>
      <c r="C72" s="2" t="str">
        <f t="shared" si="3"/>
        <v>409</v>
      </c>
      <c r="D72" s="2" t="s">
        <v>902</v>
      </c>
      <c r="E72" s="2" t="str">
        <f t="shared" ref="E72:E135" si="5">RIGHT(D72,3)</f>
        <v>172</v>
      </c>
      <c r="F72" s="2" t="str">
        <f t="shared" si="4"/>
        <v>409</v>
      </c>
    </row>
    <row r="73" spans="1:6" hidden="1" x14ac:dyDescent="0.3">
      <c r="A73" s="3">
        <v>134</v>
      </c>
      <c r="B73" s="4" t="s">
        <v>703</v>
      </c>
      <c r="C73" s="2" t="str">
        <f t="shared" si="3"/>
        <v>134</v>
      </c>
      <c r="D73" s="2" t="s">
        <v>902</v>
      </c>
      <c r="E73" s="2" t="str">
        <f t="shared" si="5"/>
        <v>172</v>
      </c>
      <c r="F73" s="2" t="e">
        <f t="shared" si="4"/>
        <v>#N/A</v>
      </c>
    </row>
    <row r="74" spans="1:6" hidden="1" x14ac:dyDescent="0.3">
      <c r="A74" s="3">
        <v>174</v>
      </c>
      <c r="B74" s="4" t="s">
        <v>704</v>
      </c>
      <c r="C74" s="2" t="str">
        <f t="shared" si="3"/>
        <v>174</v>
      </c>
      <c r="D74" s="2" t="s">
        <v>903</v>
      </c>
      <c r="E74" s="2" t="str">
        <f t="shared" si="5"/>
        <v>174</v>
      </c>
      <c r="F74" s="2" t="e">
        <f t="shared" si="4"/>
        <v>#N/A</v>
      </c>
    </row>
    <row r="75" spans="1:6" hidden="1" x14ac:dyDescent="0.3">
      <c r="A75" s="3">
        <v>310</v>
      </c>
      <c r="B75" s="4" t="s">
        <v>705</v>
      </c>
      <c r="C75" s="2" t="str">
        <f t="shared" si="3"/>
        <v>310</v>
      </c>
      <c r="D75" s="2" t="s">
        <v>904</v>
      </c>
      <c r="E75" s="2" t="str">
        <f t="shared" si="5"/>
        <v>178</v>
      </c>
      <c r="F75" s="2" t="str">
        <f t="shared" si="4"/>
        <v>310</v>
      </c>
    </row>
    <row r="76" spans="1:6" hidden="1" x14ac:dyDescent="0.3">
      <c r="A76" s="3">
        <v>249</v>
      </c>
      <c r="B76" s="4" t="s">
        <v>706</v>
      </c>
      <c r="C76" s="2" t="str">
        <f t="shared" si="3"/>
        <v>249</v>
      </c>
      <c r="D76" s="2" t="s">
        <v>904</v>
      </c>
      <c r="E76" s="2" t="str">
        <f t="shared" si="5"/>
        <v>178</v>
      </c>
      <c r="F76" s="2" t="str">
        <f t="shared" si="4"/>
        <v>249</v>
      </c>
    </row>
    <row r="77" spans="1:6" hidden="1" x14ac:dyDescent="0.3">
      <c r="A77" s="3">
        <v>601</v>
      </c>
      <c r="B77" s="4" t="s">
        <v>707</v>
      </c>
      <c r="C77" s="2" t="str">
        <f t="shared" si="3"/>
        <v>601</v>
      </c>
      <c r="D77" s="2" t="s">
        <v>905</v>
      </c>
      <c r="E77" s="2" t="str">
        <f t="shared" si="5"/>
        <v>200</v>
      </c>
      <c r="F77" s="2" t="e">
        <f t="shared" si="4"/>
        <v>#N/A</v>
      </c>
    </row>
    <row r="78" spans="1:6" hidden="1" x14ac:dyDescent="0.3">
      <c r="A78" s="3">
        <v>133</v>
      </c>
      <c r="B78" s="4" t="s">
        <v>708</v>
      </c>
      <c r="C78" s="2" t="str">
        <f t="shared" si="3"/>
        <v>133</v>
      </c>
      <c r="D78" s="2" t="s">
        <v>906</v>
      </c>
      <c r="E78" s="2" t="str">
        <f t="shared" si="5"/>
        <v>201</v>
      </c>
      <c r="F78" s="2" t="e">
        <f t="shared" si="4"/>
        <v>#N/A</v>
      </c>
    </row>
    <row r="79" spans="1:6" hidden="1" x14ac:dyDescent="0.3">
      <c r="A79" s="3">
        <v>230</v>
      </c>
      <c r="B79" s="4" t="s">
        <v>709</v>
      </c>
      <c r="C79" s="2" t="str">
        <f t="shared" si="3"/>
        <v>230</v>
      </c>
      <c r="D79" s="2" t="s">
        <v>907</v>
      </c>
      <c r="E79" s="2" t="str">
        <f t="shared" si="5"/>
        <v>202</v>
      </c>
      <c r="F79" s="2" t="str">
        <f t="shared" si="4"/>
        <v>230</v>
      </c>
    </row>
    <row r="80" spans="1:6" hidden="1" x14ac:dyDescent="0.3">
      <c r="A80" s="3">
        <v>108</v>
      </c>
      <c r="B80" s="4" t="s">
        <v>710</v>
      </c>
      <c r="C80" s="2" t="str">
        <f t="shared" si="3"/>
        <v>108</v>
      </c>
      <c r="D80" s="2" t="s">
        <v>908</v>
      </c>
      <c r="E80" s="2" t="str">
        <f t="shared" si="5"/>
        <v>204</v>
      </c>
      <c r="F80" s="2" t="e">
        <f t="shared" si="4"/>
        <v>#N/A</v>
      </c>
    </row>
    <row r="81" spans="1:6" hidden="1" x14ac:dyDescent="0.3">
      <c r="A81" s="3">
        <v>484</v>
      </c>
      <c r="B81" s="4" t="s">
        <v>711</v>
      </c>
      <c r="C81" s="2" t="str">
        <f t="shared" si="3"/>
        <v>484</v>
      </c>
      <c r="D81" s="2" t="s">
        <v>909</v>
      </c>
      <c r="E81" s="2" t="str">
        <f t="shared" si="5"/>
        <v>207</v>
      </c>
      <c r="F81" s="2" t="str">
        <f t="shared" si="4"/>
        <v>484</v>
      </c>
    </row>
    <row r="82" spans="1:6" hidden="1" x14ac:dyDescent="0.3">
      <c r="A82" s="3">
        <v>488</v>
      </c>
      <c r="B82" s="4" t="s">
        <v>712</v>
      </c>
      <c r="C82" s="2" t="str">
        <f t="shared" si="3"/>
        <v>488</v>
      </c>
      <c r="D82" s="2" t="s">
        <v>910</v>
      </c>
      <c r="E82" s="2" t="str">
        <f t="shared" si="5"/>
        <v>208</v>
      </c>
      <c r="F82" s="2" t="str">
        <f t="shared" si="4"/>
        <v>488</v>
      </c>
    </row>
    <row r="83" spans="1:6" hidden="1" x14ac:dyDescent="0.3">
      <c r="A83" s="3">
        <v>204</v>
      </c>
      <c r="B83" s="4" t="s">
        <v>713</v>
      </c>
      <c r="C83" s="2" t="str">
        <f t="shared" si="3"/>
        <v>204</v>
      </c>
      <c r="D83" s="2" t="s">
        <v>911</v>
      </c>
      <c r="E83" s="2" t="str">
        <f t="shared" si="5"/>
        <v>210</v>
      </c>
      <c r="F83" s="2" t="e">
        <f t="shared" si="4"/>
        <v>#N/A</v>
      </c>
    </row>
    <row r="84" spans="1:6" hidden="1" x14ac:dyDescent="0.3">
      <c r="A84" s="3">
        <v>547</v>
      </c>
      <c r="B84" s="4" t="s">
        <v>714</v>
      </c>
      <c r="C84" s="2" t="str">
        <f t="shared" si="3"/>
        <v>547</v>
      </c>
      <c r="D84" s="2" t="s">
        <v>912</v>
      </c>
      <c r="E84" s="2" t="str">
        <f t="shared" si="5"/>
        <v>212</v>
      </c>
      <c r="F84" s="2" t="str">
        <f t="shared" si="4"/>
        <v>547</v>
      </c>
    </row>
    <row r="85" spans="1:6" hidden="1" x14ac:dyDescent="0.3">
      <c r="A85" s="3">
        <v>132</v>
      </c>
      <c r="B85" s="4" t="s">
        <v>715</v>
      </c>
      <c r="C85" s="2" t="str">
        <f t="shared" si="3"/>
        <v>132</v>
      </c>
      <c r="D85" s="2" t="s">
        <v>913</v>
      </c>
      <c r="E85" s="2" t="str">
        <f t="shared" si="5"/>
        <v>214</v>
      </c>
      <c r="F85" s="2" t="e">
        <f t="shared" si="4"/>
        <v>#N/A</v>
      </c>
    </row>
    <row r="86" spans="1:6" hidden="1" x14ac:dyDescent="0.3">
      <c r="A86" s="3">
        <v>202</v>
      </c>
      <c r="B86" s="4" t="s">
        <v>716</v>
      </c>
      <c r="C86" s="2" t="str">
        <f t="shared" si="3"/>
        <v>202</v>
      </c>
      <c r="D86" s="2" t="s">
        <v>913</v>
      </c>
      <c r="E86" s="2" t="str">
        <f t="shared" si="5"/>
        <v>214</v>
      </c>
      <c r="F86" s="2" t="e">
        <f t="shared" si="4"/>
        <v>#N/A</v>
      </c>
    </row>
    <row r="87" spans="1:6" hidden="1" x14ac:dyDescent="0.3">
      <c r="A87" s="3">
        <v>302</v>
      </c>
      <c r="B87" s="4" t="s">
        <v>717</v>
      </c>
      <c r="C87" s="2" t="str">
        <f t="shared" si="3"/>
        <v>302</v>
      </c>
      <c r="D87" s="2" t="s">
        <v>914</v>
      </c>
      <c r="E87" s="2" t="str">
        <f t="shared" si="5"/>
        <v>216</v>
      </c>
      <c r="F87" s="2" t="str">
        <f t="shared" si="4"/>
        <v>302</v>
      </c>
    </row>
    <row r="88" spans="1:6" hidden="1" x14ac:dyDescent="0.3">
      <c r="A88" s="3">
        <v>354</v>
      </c>
      <c r="B88" s="4" t="s">
        <v>718</v>
      </c>
      <c r="C88" s="2" t="str">
        <f t="shared" si="3"/>
        <v>354</v>
      </c>
      <c r="D88" s="2" t="s">
        <v>915</v>
      </c>
      <c r="E88" s="2" t="str">
        <f t="shared" si="5"/>
        <v>218</v>
      </c>
      <c r="F88" s="2" t="str">
        <f t="shared" si="4"/>
        <v>354</v>
      </c>
    </row>
    <row r="89" spans="1:6" hidden="1" x14ac:dyDescent="0.3">
      <c r="A89" s="3">
        <v>250</v>
      </c>
      <c r="B89" s="4" t="s">
        <v>719</v>
      </c>
      <c r="C89" s="2" t="str">
        <f t="shared" si="3"/>
        <v>250</v>
      </c>
      <c r="D89" s="2" t="s">
        <v>916</v>
      </c>
      <c r="E89" s="2" t="str">
        <f t="shared" si="5"/>
        <v>222</v>
      </c>
      <c r="F89" s="2" t="str">
        <f t="shared" si="4"/>
        <v>250</v>
      </c>
    </row>
    <row r="90" spans="1:6" hidden="1" x14ac:dyDescent="0.3">
      <c r="A90" s="3">
        <v>144</v>
      </c>
      <c r="B90" s="4" t="s">
        <v>720</v>
      </c>
      <c r="C90" s="2" t="str">
        <f t="shared" si="3"/>
        <v>144</v>
      </c>
      <c r="D90" s="2" t="s">
        <v>917</v>
      </c>
      <c r="E90" s="2" t="str">
        <f t="shared" si="5"/>
        <v>226</v>
      </c>
      <c r="F90" s="2" t="e">
        <f t="shared" si="4"/>
        <v>#N/A</v>
      </c>
    </row>
    <row r="91" spans="1:6" hidden="1" x14ac:dyDescent="0.3">
      <c r="A91" s="3">
        <v>470</v>
      </c>
      <c r="B91" s="4" t="s">
        <v>721</v>
      </c>
      <c r="C91" s="2" t="str">
        <f t="shared" si="3"/>
        <v>470</v>
      </c>
      <c r="D91" s="2" t="s">
        <v>917</v>
      </c>
      <c r="E91" s="2" t="str">
        <f t="shared" si="5"/>
        <v>226</v>
      </c>
      <c r="F91" s="2" t="str">
        <f t="shared" si="4"/>
        <v>470</v>
      </c>
    </row>
    <row r="92" spans="1:6" hidden="1" x14ac:dyDescent="0.3">
      <c r="A92" s="3">
        <v>548</v>
      </c>
      <c r="B92" s="4" t="s">
        <v>722</v>
      </c>
      <c r="C92" s="2" t="str">
        <f t="shared" si="3"/>
        <v>548</v>
      </c>
      <c r="D92" s="2" t="s">
        <v>918</v>
      </c>
      <c r="E92" s="2" t="str">
        <f t="shared" si="5"/>
        <v>227</v>
      </c>
      <c r="F92" s="2" t="str">
        <f t="shared" si="4"/>
        <v>548</v>
      </c>
    </row>
    <row r="93" spans="1:6" hidden="1" x14ac:dyDescent="0.3">
      <c r="A93" s="3">
        <v>536</v>
      </c>
      <c r="B93" s="4" t="s">
        <v>723</v>
      </c>
      <c r="C93" s="2" t="str">
        <f t="shared" si="3"/>
        <v>536</v>
      </c>
      <c r="D93" s="2" t="s">
        <v>919</v>
      </c>
      <c r="E93" s="2" t="str">
        <f t="shared" si="5"/>
        <v>228</v>
      </c>
      <c r="F93" s="2" t="str">
        <f t="shared" si="4"/>
        <v>536</v>
      </c>
    </row>
    <row r="94" spans="1:6" hidden="1" x14ac:dyDescent="0.3">
      <c r="A94" s="3">
        <v>201</v>
      </c>
      <c r="B94" s="4" t="s">
        <v>724</v>
      </c>
      <c r="C94" s="2" t="str">
        <f t="shared" si="3"/>
        <v>201</v>
      </c>
      <c r="D94" s="2" t="s">
        <v>920</v>
      </c>
      <c r="E94" s="2" t="str">
        <f t="shared" si="5"/>
        <v>229</v>
      </c>
      <c r="F94" s="2" t="e">
        <f t="shared" si="4"/>
        <v>#N/A</v>
      </c>
    </row>
    <row r="95" spans="1:6" hidden="1" x14ac:dyDescent="0.3">
      <c r="A95" s="3">
        <v>153</v>
      </c>
      <c r="B95" s="4" t="s">
        <v>725</v>
      </c>
      <c r="C95" s="2" t="str">
        <f t="shared" si="3"/>
        <v>153</v>
      </c>
      <c r="D95" s="2" t="s">
        <v>921</v>
      </c>
      <c r="E95" s="2" t="str">
        <f t="shared" si="5"/>
        <v>230</v>
      </c>
      <c r="F95" s="2" t="e">
        <f t="shared" si="4"/>
        <v>#N/A</v>
      </c>
    </row>
    <row r="96" spans="1:6" hidden="1" x14ac:dyDescent="0.3">
      <c r="A96" s="3">
        <v>452</v>
      </c>
      <c r="B96" s="4" t="s">
        <v>726</v>
      </c>
      <c r="C96" s="2" t="str">
        <f t="shared" si="3"/>
        <v>452</v>
      </c>
      <c r="D96" s="2" t="s">
        <v>922</v>
      </c>
      <c r="E96" s="2" t="str">
        <f t="shared" si="5"/>
        <v>231</v>
      </c>
      <c r="F96" s="2" t="str">
        <f t="shared" si="4"/>
        <v>452</v>
      </c>
    </row>
    <row r="97" spans="1:6" hidden="1" x14ac:dyDescent="0.3">
      <c r="A97" s="3">
        <v>508</v>
      </c>
      <c r="B97" s="4" t="s">
        <v>727</v>
      </c>
      <c r="C97" s="2" t="str">
        <f t="shared" si="3"/>
        <v>508</v>
      </c>
      <c r="D97" s="2" t="s">
        <v>923</v>
      </c>
      <c r="E97" s="2" t="str">
        <f t="shared" si="5"/>
        <v>232</v>
      </c>
      <c r="F97" s="2" t="str">
        <f t="shared" si="4"/>
        <v>508</v>
      </c>
    </row>
    <row r="98" spans="1:6" hidden="1" x14ac:dyDescent="0.3">
      <c r="A98" s="3">
        <v>478</v>
      </c>
      <c r="B98" s="4" t="s">
        <v>728</v>
      </c>
      <c r="C98" s="2" t="str">
        <f t="shared" si="3"/>
        <v>478</v>
      </c>
      <c r="D98" s="2" t="s">
        <v>924</v>
      </c>
      <c r="E98" s="2" t="str">
        <f t="shared" si="5"/>
        <v>234</v>
      </c>
      <c r="F98" s="2" t="str">
        <f t="shared" si="4"/>
        <v>478</v>
      </c>
    </row>
    <row r="99" spans="1:6" hidden="1" x14ac:dyDescent="0.3">
      <c r="A99" s="3">
        <v>242</v>
      </c>
      <c r="B99" s="4" t="s">
        <v>729</v>
      </c>
      <c r="C99" s="2" t="str">
        <f t="shared" si="3"/>
        <v>242</v>
      </c>
      <c r="D99" s="2" t="s">
        <v>925</v>
      </c>
      <c r="E99" s="2" t="str">
        <f t="shared" si="5"/>
        <v>235</v>
      </c>
      <c r="F99" s="2" t="e">
        <f t="shared" si="4"/>
        <v>#N/A</v>
      </c>
    </row>
    <row r="100" spans="1:6" hidden="1" x14ac:dyDescent="0.3">
      <c r="A100" s="3">
        <v>232</v>
      </c>
      <c r="B100" s="4" t="s">
        <v>730</v>
      </c>
      <c r="C100" s="2" t="str">
        <f t="shared" si="3"/>
        <v>232</v>
      </c>
      <c r="D100" s="2" t="s">
        <v>926</v>
      </c>
      <c r="E100" s="2" t="str">
        <f t="shared" si="5"/>
        <v>242</v>
      </c>
      <c r="F100" s="2" t="e">
        <f t="shared" si="4"/>
        <v>#N/A</v>
      </c>
    </row>
    <row r="101" spans="1:6" hidden="1" x14ac:dyDescent="0.3">
      <c r="A101" s="3">
        <v>440</v>
      </c>
      <c r="B101" s="4" t="s">
        <v>731</v>
      </c>
      <c r="C101" s="2" t="str">
        <f t="shared" si="3"/>
        <v>440</v>
      </c>
      <c r="D101" s="2" t="s">
        <v>927</v>
      </c>
      <c r="E101" s="2" t="str">
        <f t="shared" si="5"/>
        <v>249</v>
      </c>
      <c r="F101" s="2" t="str">
        <f t="shared" si="4"/>
        <v>440</v>
      </c>
    </row>
    <row r="102" spans="1:6" hidden="1" x14ac:dyDescent="0.3">
      <c r="A102" s="3">
        <v>500</v>
      </c>
      <c r="B102" s="4" t="s">
        <v>732</v>
      </c>
      <c r="C102" s="2" t="str">
        <f t="shared" si="3"/>
        <v>500</v>
      </c>
      <c r="D102" s="2" t="s">
        <v>928</v>
      </c>
      <c r="E102" s="2" t="str">
        <f t="shared" si="5"/>
        <v>250</v>
      </c>
      <c r="F102" s="2" t="str">
        <f t="shared" si="4"/>
        <v>500</v>
      </c>
    </row>
    <row r="103" spans="1:6" hidden="1" x14ac:dyDescent="0.3">
      <c r="A103" s="3">
        <v>534</v>
      </c>
      <c r="B103" s="4" t="s">
        <v>733</v>
      </c>
      <c r="C103" s="2" t="str">
        <f t="shared" si="3"/>
        <v>534</v>
      </c>
      <c r="D103" s="2" t="s">
        <v>929</v>
      </c>
      <c r="E103" s="2" t="str">
        <f t="shared" si="5"/>
        <v>256</v>
      </c>
      <c r="F103" s="2" t="str">
        <f t="shared" si="4"/>
        <v>534</v>
      </c>
    </row>
    <row r="104" spans="1:6" hidden="1" x14ac:dyDescent="0.3">
      <c r="A104" s="3">
        <v>569</v>
      </c>
      <c r="B104" s="4" t="s">
        <v>734</v>
      </c>
      <c r="C104" s="2" t="str">
        <f t="shared" si="3"/>
        <v>569</v>
      </c>
      <c r="D104" s="2" t="s">
        <v>930</v>
      </c>
      <c r="E104" s="2" t="str">
        <f t="shared" si="5"/>
        <v>257</v>
      </c>
      <c r="F104" s="2" t="str">
        <f t="shared" si="4"/>
        <v>569</v>
      </c>
    </row>
    <row r="105" spans="1:6" hidden="1" x14ac:dyDescent="0.3">
      <c r="A105" s="3">
        <v>366</v>
      </c>
      <c r="B105" s="4" t="s">
        <v>735</v>
      </c>
      <c r="C105" s="2" t="str">
        <f t="shared" si="3"/>
        <v>366</v>
      </c>
      <c r="D105" s="2" t="s">
        <v>931</v>
      </c>
      <c r="E105" s="2" t="str">
        <f t="shared" si="5"/>
        <v>258</v>
      </c>
      <c r="F105" s="2" t="str">
        <f t="shared" si="4"/>
        <v>366</v>
      </c>
    </row>
    <row r="106" spans="1:6" hidden="1" x14ac:dyDescent="0.3">
      <c r="A106" s="16">
        <v>479</v>
      </c>
      <c r="B106" s="4" t="s">
        <v>736</v>
      </c>
      <c r="C106" s="2" t="str">
        <f t="shared" si="3"/>
        <v>479</v>
      </c>
      <c r="D106" s="2" t="s">
        <v>931</v>
      </c>
      <c r="E106" s="2" t="str">
        <f t="shared" si="5"/>
        <v>258</v>
      </c>
      <c r="F106" s="2" t="str">
        <f t="shared" si="4"/>
        <v>479</v>
      </c>
    </row>
    <row r="107" spans="1:6" hidden="1" x14ac:dyDescent="0.3">
      <c r="A107" s="3">
        <v>525</v>
      </c>
      <c r="B107" s="4" t="s">
        <v>737</v>
      </c>
      <c r="C107" s="2" t="str">
        <f t="shared" si="3"/>
        <v>525</v>
      </c>
      <c r="D107" s="2" t="s">
        <v>932</v>
      </c>
      <c r="E107" s="2" t="str">
        <f t="shared" si="5"/>
        <v>259</v>
      </c>
      <c r="F107" s="2" t="str">
        <f t="shared" si="4"/>
        <v>525</v>
      </c>
    </row>
    <row r="108" spans="1:6" hidden="1" x14ac:dyDescent="0.3">
      <c r="A108" s="3">
        <v>570</v>
      </c>
      <c r="B108" s="4" t="s">
        <v>738</v>
      </c>
      <c r="C108" s="2" t="str">
        <f t="shared" si="3"/>
        <v>570</v>
      </c>
      <c r="D108" s="2" t="s">
        <v>933</v>
      </c>
      <c r="E108" s="2" t="str">
        <f t="shared" si="5"/>
        <v>260</v>
      </c>
      <c r="F108" s="2" t="e">
        <f t="shared" si="4"/>
        <v>#N/A</v>
      </c>
    </row>
    <row r="109" spans="1:6" hidden="1" x14ac:dyDescent="0.3">
      <c r="A109" s="3">
        <v>200</v>
      </c>
      <c r="B109" s="4" t="s">
        <v>739</v>
      </c>
      <c r="C109" s="2" t="str">
        <f t="shared" si="3"/>
        <v>200</v>
      </c>
      <c r="D109" s="2" t="s">
        <v>934</v>
      </c>
      <c r="E109" s="2" t="str">
        <f t="shared" si="5"/>
        <v>302</v>
      </c>
      <c r="F109" s="2" t="e">
        <f t="shared" si="4"/>
        <v>#N/A</v>
      </c>
    </row>
    <row r="110" spans="1:6" hidden="1" x14ac:dyDescent="0.3">
      <c r="A110" s="3">
        <v>406</v>
      </c>
      <c r="B110" s="4" t="s">
        <v>740</v>
      </c>
      <c r="C110" s="2" t="str">
        <f t="shared" si="3"/>
        <v>406</v>
      </c>
      <c r="D110" s="2" t="s">
        <v>935</v>
      </c>
      <c r="E110" s="2" t="str">
        <f t="shared" si="5"/>
        <v>310</v>
      </c>
      <c r="F110" s="2" t="str">
        <f t="shared" si="4"/>
        <v>406</v>
      </c>
    </row>
    <row r="111" spans="1:6" hidden="1" x14ac:dyDescent="0.3">
      <c r="A111" s="3">
        <v>324</v>
      </c>
      <c r="B111" s="4" t="s">
        <v>741</v>
      </c>
      <c r="C111" s="2" t="str">
        <f t="shared" si="3"/>
        <v>324</v>
      </c>
      <c r="D111" s="2" t="s">
        <v>936</v>
      </c>
      <c r="E111" s="2" t="str">
        <f t="shared" si="5"/>
        <v>312</v>
      </c>
      <c r="F111" s="2" t="e">
        <f t="shared" si="4"/>
        <v>#N/A</v>
      </c>
    </row>
    <row r="112" spans="1:6" hidden="1" x14ac:dyDescent="0.3">
      <c r="A112" s="3">
        <v>402</v>
      </c>
      <c r="B112" s="4" t="s">
        <v>742</v>
      </c>
      <c r="C112" s="2" t="str">
        <f t="shared" si="3"/>
        <v>402</v>
      </c>
      <c r="D112" s="2" t="s">
        <v>937</v>
      </c>
      <c r="E112" s="2" t="str">
        <f t="shared" si="5"/>
        <v>330</v>
      </c>
      <c r="F112" s="2" t="str">
        <f t="shared" si="4"/>
        <v>402</v>
      </c>
    </row>
    <row r="113" spans="1:6" hidden="1" x14ac:dyDescent="0.3">
      <c r="A113" s="3">
        <v>518</v>
      </c>
      <c r="B113" s="4" t="s">
        <v>743</v>
      </c>
      <c r="C113" s="2" t="str">
        <f t="shared" si="3"/>
        <v>518</v>
      </c>
      <c r="D113" s="2" t="s">
        <v>938</v>
      </c>
      <c r="E113" s="2" t="str">
        <f t="shared" si="5"/>
        <v>342</v>
      </c>
      <c r="F113" s="2" t="str">
        <f t="shared" si="4"/>
        <v>518</v>
      </c>
    </row>
    <row r="114" spans="1:6" hidden="1" x14ac:dyDescent="0.3">
      <c r="A114" s="3">
        <v>342</v>
      </c>
      <c r="B114" s="4" t="s">
        <v>744</v>
      </c>
      <c r="C114" s="2" t="str">
        <f t="shared" si="3"/>
        <v>342</v>
      </c>
      <c r="D114" s="2" t="s">
        <v>939</v>
      </c>
      <c r="E114" s="2" t="str">
        <f t="shared" si="5"/>
        <v>343</v>
      </c>
      <c r="F114" s="2" t="e">
        <f t="shared" si="4"/>
        <v>#N/A</v>
      </c>
    </row>
    <row r="115" spans="1:6" hidden="1" x14ac:dyDescent="0.3">
      <c r="A115" s="3">
        <v>477</v>
      </c>
      <c r="B115" s="4" t="s">
        <v>745</v>
      </c>
      <c r="C115" s="2" t="str">
        <f t="shared" si="3"/>
        <v>477</v>
      </c>
      <c r="D115" s="2" t="s">
        <v>940</v>
      </c>
      <c r="E115" s="2" t="str">
        <f t="shared" si="5"/>
        <v>344</v>
      </c>
      <c r="F115" s="2" t="str">
        <f t="shared" si="4"/>
        <v>477</v>
      </c>
    </row>
    <row r="116" spans="1:6" hidden="1" x14ac:dyDescent="0.3">
      <c r="A116" s="3">
        <v>434</v>
      </c>
      <c r="B116" s="4" t="s">
        <v>746</v>
      </c>
      <c r="C116" s="2" t="str">
        <f t="shared" si="3"/>
        <v>434</v>
      </c>
      <c r="D116" s="2" t="s">
        <v>941</v>
      </c>
      <c r="E116" s="2" t="str">
        <f t="shared" si="5"/>
        <v>346</v>
      </c>
      <c r="F116" s="2" t="str">
        <f t="shared" si="4"/>
        <v>434</v>
      </c>
    </row>
    <row r="117" spans="1:6" hidden="1" x14ac:dyDescent="0.3">
      <c r="A117" s="3">
        <v>524</v>
      </c>
      <c r="B117" s="4" t="s">
        <v>747</v>
      </c>
      <c r="C117" s="2" t="str">
        <f t="shared" si="3"/>
        <v>524</v>
      </c>
      <c r="D117" s="2" t="s">
        <v>942</v>
      </c>
      <c r="E117" s="2" t="str">
        <f t="shared" si="5"/>
        <v>350</v>
      </c>
      <c r="F117" s="2" t="str">
        <f t="shared" si="4"/>
        <v>524</v>
      </c>
    </row>
    <row r="118" spans="1:6" hidden="1" x14ac:dyDescent="0.3">
      <c r="A118" s="3">
        <v>154</v>
      </c>
      <c r="B118" s="4" t="s">
        <v>748</v>
      </c>
      <c r="C118" s="2" t="str">
        <f t="shared" si="3"/>
        <v>154</v>
      </c>
      <c r="D118" s="2" t="s">
        <v>943</v>
      </c>
      <c r="E118" s="2" t="str">
        <f t="shared" si="5"/>
        <v>354</v>
      </c>
      <c r="F118" s="2" t="e">
        <f t="shared" si="4"/>
        <v>#N/A</v>
      </c>
    </row>
    <row r="119" spans="1:6" hidden="1" x14ac:dyDescent="0.3">
      <c r="A119" s="3">
        <v>423</v>
      </c>
      <c r="B119" s="4" t="s">
        <v>749</v>
      </c>
      <c r="C119" s="2" t="str">
        <f t="shared" si="3"/>
        <v>423</v>
      </c>
      <c r="D119" s="2" t="s">
        <v>944</v>
      </c>
      <c r="E119" s="2" t="str">
        <f t="shared" si="5"/>
        <v>355</v>
      </c>
      <c r="F119" s="2" t="str">
        <f t="shared" si="4"/>
        <v>423</v>
      </c>
    </row>
    <row r="120" spans="1:6" hidden="1" x14ac:dyDescent="0.3">
      <c r="A120" s="3">
        <v>228</v>
      </c>
      <c r="B120" s="4" t="s">
        <v>750</v>
      </c>
      <c r="C120" s="2" t="str">
        <f t="shared" si="3"/>
        <v>228</v>
      </c>
      <c r="D120" s="2" t="s">
        <v>945</v>
      </c>
      <c r="E120" s="2" t="str">
        <f t="shared" si="5"/>
        <v>356</v>
      </c>
      <c r="F120" s="2" t="e">
        <f t="shared" si="4"/>
        <v>#N/A</v>
      </c>
    </row>
    <row r="121" spans="1:6" hidden="1" x14ac:dyDescent="0.3">
      <c r="A121" s="3">
        <v>544</v>
      </c>
      <c r="B121" s="4" t="s">
        <v>751</v>
      </c>
      <c r="C121" s="2" t="str">
        <f t="shared" si="3"/>
        <v>544</v>
      </c>
      <c r="D121" s="2" t="s">
        <v>946</v>
      </c>
      <c r="E121" s="2" t="str">
        <f t="shared" si="5"/>
        <v>358</v>
      </c>
      <c r="F121" s="2" t="str">
        <f t="shared" si="4"/>
        <v>544</v>
      </c>
    </row>
    <row r="122" spans="1:6" hidden="1" x14ac:dyDescent="0.3">
      <c r="A122" s="3">
        <v>458</v>
      </c>
      <c r="B122" s="4" t="s">
        <v>752</v>
      </c>
      <c r="C122" s="2" t="str">
        <f t="shared" si="3"/>
        <v>458</v>
      </c>
      <c r="D122" s="2" t="s">
        <v>947</v>
      </c>
      <c r="E122" s="2" t="str">
        <f t="shared" si="5"/>
        <v>364</v>
      </c>
      <c r="F122" s="2" t="e">
        <f t="shared" si="4"/>
        <v>#N/A</v>
      </c>
    </row>
    <row r="123" spans="1:6" hidden="1" x14ac:dyDescent="0.3">
      <c r="A123" s="3">
        <v>142</v>
      </c>
      <c r="B123" s="4" t="s">
        <v>753</v>
      </c>
      <c r="C123" s="2" t="str">
        <f t="shared" si="3"/>
        <v>142</v>
      </c>
      <c r="D123" s="2" t="s">
        <v>948</v>
      </c>
      <c r="E123" s="2" t="str">
        <f t="shared" si="5"/>
        <v>366</v>
      </c>
      <c r="F123" s="2" t="e">
        <f t="shared" si="4"/>
        <v>#N/A</v>
      </c>
    </row>
    <row r="124" spans="1:6" hidden="1" x14ac:dyDescent="0.3">
      <c r="A124" s="3">
        <v>538</v>
      </c>
      <c r="B124" s="4" t="s">
        <v>754</v>
      </c>
      <c r="C124" s="2" t="str">
        <f t="shared" si="3"/>
        <v>538</v>
      </c>
      <c r="D124" s="2" t="s">
        <v>949</v>
      </c>
      <c r="E124" s="2" t="str">
        <f t="shared" si="5"/>
        <v>368</v>
      </c>
      <c r="F124" s="2" t="str">
        <f t="shared" si="4"/>
        <v>538</v>
      </c>
    </row>
    <row r="125" spans="1:6" hidden="1" x14ac:dyDescent="0.3">
      <c r="A125" s="3">
        <v>566</v>
      </c>
      <c r="B125" s="4" t="s">
        <v>755</v>
      </c>
      <c r="C125" s="2" t="str">
        <f t="shared" si="3"/>
        <v>566</v>
      </c>
      <c r="D125" s="2" t="s">
        <v>950</v>
      </c>
      <c r="E125" s="2" t="str">
        <f t="shared" si="5"/>
        <v>402</v>
      </c>
      <c r="F125" s="2" t="str">
        <f t="shared" si="4"/>
        <v>566</v>
      </c>
    </row>
    <row r="126" spans="1:6" hidden="1" x14ac:dyDescent="0.3">
      <c r="A126" s="3">
        <v>556</v>
      </c>
      <c r="B126" s="4" t="s">
        <v>756</v>
      </c>
      <c r="C126" s="2" t="str">
        <f t="shared" si="3"/>
        <v>556</v>
      </c>
      <c r="D126" s="2" t="s">
        <v>951</v>
      </c>
      <c r="E126" s="2" t="str">
        <f t="shared" si="5"/>
        <v>403</v>
      </c>
      <c r="F126" s="2" t="str">
        <f t="shared" si="4"/>
        <v>556</v>
      </c>
    </row>
    <row r="127" spans="1:6" hidden="1" x14ac:dyDescent="0.3">
      <c r="A127" s="3">
        <v>322</v>
      </c>
      <c r="B127" s="4" t="s">
        <v>757</v>
      </c>
      <c r="C127" s="2" t="str">
        <f t="shared" si="3"/>
        <v>322</v>
      </c>
      <c r="D127" s="2" t="s">
        <v>952</v>
      </c>
      <c r="E127" s="2" t="str">
        <f t="shared" si="5"/>
        <v>404</v>
      </c>
      <c r="F127" s="2" t="e">
        <f t="shared" si="4"/>
        <v>#N/A</v>
      </c>
    </row>
    <row r="128" spans="1:6" ht="57.6" hidden="1" x14ac:dyDescent="0.3">
      <c r="A128" s="3">
        <v>260</v>
      </c>
      <c r="B128" s="17" t="s">
        <v>758</v>
      </c>
      <c r="C128" s="2" t="str">
        <f t="shared" si="3"/>
        <v>260</v>
      </c>
      <c r="D128" s="2" t="s">
        <v>953</v>
      </c>
      <c r="E128" s="2" t="str">
        <f t="shared" si="5"/>
        <v>406</v>
      </c>
      <c r="F128" s="2" t="e">
        <f t="shared" si="4"/>
        <v>#N/A</v>
      </c>
    </row>
    <row r="129" spans="1:6" hidden="1" x14ac:dyDescent="0.3">
      <c r="A129" s="8">
        <v>121</v>
      </c>
      <c r="B129" s="9" t="s">
        <v>759</v>
      </c>
      <c r="C129" s="2" t="str">
        <f t="shared" si="3"/>
        <v>121</v>
      </c>
      <c r="D129" s="2" t="s">
        <v>954</v>
      </c>
      <c r="E129" s="2" t="str">
        <f t="shared" si="5"/>
        <v>409</v>
      </c>
      <c r="F129" s="2" t="e">
        <f t="shared" si="4"/>
        <v>#N/A</v>
      </c>
    </row>
    <row r="130" spans="1:6" hidden="1" x14ac:dyDescent="0.3">
      <c r="A130" s="3">
        <v>468</v>
      </c>
      <c r="B130" s="4" t="s">
        <v>760</v>
      </c>
      <c r="C130" s="2" t="str">
        <f t="shared" si="3"/>
        <v>468</v>
      </c>
      <c r="D130" s="2" t="s">
        <v>955</v>
      </c>
      <c r="E130" s="2" t="str">
        <f t="shared" si="5"/>
        <v>412</v>
      </c>
      <c r="F130" s="2" t="str">
        <f t="shared" si="4"/>
        <v>468</v>
      </c>
    </row>
    <row r="131" spans="1:6" hidden="1" x14ac:dyDescent="0.3">
      <c r="A131" s="16">
        <v>303</v>
      </c>
      <c r="B131" s="4" t="s">
        <v>761</v>
      </c>
      <c r="C131" s="2" t="str">
        <f t="shared" ref="C131:C194" si="6">TRIM(A131)</f>
        <v>303</v>
      </c>
      <c r="D131" s="2" t="s">
        <v>956</v>
      </c>
      <c r="E131" s="2" t="str">
        <f t="shared" si="5"/>
        <v>414</v>
      </c>
      <c r="F131" s="2" t="e">
        <f t="shared" ref="F131:F194" si="7">VLOOKUP(C131,E136:E328,1,FALSE)</f>
        <v>#N/A</v>
      </c>
    </row>
    <row r="132" spans="1:6" hidden="1" x14ac:dyDescent="0.3">
      <c r="A132" s="5">
        <v>103</v>
      </c>
      <c r="B132" s="6" t="s">
        <v>762</v>
      </c>
      <c r="C132" s="2" t="str">
        <f t="shared" si="6"/>
        <v>103</v>
      </c>
      <c r="D132" s="2" t="s">
        <v>957</v>
      </c>
      <c r="E132" s="2" t="str">
        <f t="shared" si="5"/>
        <v>418</v>
      </c>
      <c r="F132" s="2" t="e">
        <f t="shared" si="7"/>
        <v>#N/A</v>
      </c>
    </row>
    <row r="133" spans="1:6" hidden="1" x14ac:dyDescent="0.3">
      <c r="A133" s="3">
        <v>218</v>
      </c>
      <c r="B133" s="4" t="s">
        <v>763</v>
      </c>
      <c r="C133" s="2" t="str">
        <f t="shared" si="6"/>
        <v>218</v>
      </c>
      <c r="D133" s="2" t="s">
        <v>958</v>
      </c>
      <c r="E133" s="2" t="str">
        <f t="shared" si="5"/>
        <v>420</v>
      </c>
      <c r="F133" s="2" t="e">
        <f t="shared" si="7"/>
        <v>#N/A</v>
      </c>
    </row>
    <row r="134" spans="1:6" hidden="1" x14ac:dyDescent="0.3">
      <c r="A134" s="3">
        <v>455</v>
      </c>
      <c r="B134" s="4" t="s">
        <v>764</v>
      </c>
      <c r="C134" s="2" t="str">
        <f t="shared" si="6"/>
        <v>455</v>
      </c>
      <c r="D134" s="2" t="s">
        <v>959</v>
      </c>
      <c r="E134" s="2" t="str">
        <f t="shared" si="5"/>
        <v>422</v>
      </c>
      <c r="F134" s="2" t="str">
        <f t="shared" si="7"/>
        <v>455</v>
      </c>
    </row>
    <row r="135" spans="1:6" hidden="1" x14ac:dyDescent="0.3">
      <c r="A135" s="3">
        <v>513</v>
      </c>
      <c r="B135" s="4" t="s">
        <v>765</v>
      </c>
      <c r="C135" s="2" t="str">
        <f t="shared" si="6"/>
        <v>513</v>
      </c>
      <c r="D135" s="2" t="s">
        <v>960</v>
      </c>
      <c r="E135" s="2" t="str">
        <f t="shared" si="5"/>
        <v>423</v>
      </c>
      <c r="F135" s="2" t="str">
        <f t="shared" si="7"/>
        <v>513</v>
      </c>
    </row>
    <row r="136" spans="1:6" hidden="1" x14ac:dyDescent="0.3">
      <c r="A136" s="3">
        <v>522</v>
      </c>
      <c r="B136" s="4" t="s">
        <v>766</v>
      </c>
      <c r="C136" s="2" t="str">
        <f t="shared" si="6"/>
        <v>522</v>
      </c>
      <c r="D136" s="2" t="s">
        <v>961</v>
      </c>
      <c r="E136" s="2" t="str">
        <f t="shared" ref="E136:E199" si="8">RIGHT(D136,3)</f>
        <v>426</v>
      </c>
      <c r="F136" s="2" t="str">
        <f t="shared" si="7"/>
        <v>522</v>
      </c>
    </row>
    <row r="137" spans="1:6" hidden="1" x14ac:dyDescent="0.3">
      <c r="A137" s="3">
        <v>356</v>
      </c>
      <c r="B137" s="4" t="s">
        <v>767</v>
      </c>
      <c r="C137" s="2" t="str">
        <f t="shared" si="6"/>
        <v>356</v>
      </c>
      <c r="D137" s="2" t="s">
        <v>962</v>
      </c>
      <c r="E137" s="2" t="str">
        <f t="shared" si="8"/>
        <v>428</v>
      </c>
      <c r="F137" s="2" t="e">
        <f t="shared" si="7"/>
        <v>#N/A</v>
      </c>
    </row>
    <row r="138" spans="1:6" hidden="1" x14ac:dyDescent="0.3">
      <c r="A138" s="3">
        <v>358</v>
      </c>
      <c r="B138" s="4" t="s">
        <v>768</v>
      </c>
      <c r="C138" s="2" t="str">
        <f t="shared" si="6"/>
        <v>358</v>
      </c>
      <c r="D138" s="2" t="s">
        <v>963</v>
      </c>
      <c r="E138" s="2" t="str">
        <f t="shared" si="8"/>
        <v>434</v>
      </c>
      <c r="F138" s="2" t="e">
        <f t="shared" si="7"/>
        <v>#N/A</v>
      </c>
    </row>
    <row r="139" spans="1:6" hidden="1" x14ac:dyDescent="0.3">
      <c r="A139" s="3">
        <v>451</v>
      </c>
      <c r="B139" s="4" t="s">
        <v>769</v>
      </c>
      <c r="C139" s="2" t="str">
        <f t="shared" si="6"/>
        <v>451</v>
      </c>
      <c r="D139" s="2" t="s">
        <v>964</v>
      </c>
      <c r="E139" s="2" t="str">
        <f t="shared" si="8"/>
        <v>436</v>
      </c>
      <c r="F139" s="2" t="str">
        <f t="shared" si="7"/>
        <v>451</v>
      </c>
    </row>
    <row r="140" spans="1:6" hidden="1" x14ac:dyDescent="0.3">
      <c r="A140" s="3">
        <v>601</v>
      </c>
      <c r="B140" s="4" t="s">
        <v>770</v>
      </c>
      <c r="C140" s="2" t="str">
        <f t="shared" si="6"/>
        <v>601</v>
      </c>
      <c r="D140" s="2" t="s">
        <v>965</v>
      </c>
      <c r="E140" s="2" t="str">
        <f t="shared" si="8"/>
        <v>438</v>
      </c>
      <c r="F140" s="2" t="e">
        <f t="shared" si="7"/>
        <v>#N/A</v>
      </c>
    </row>
    <row r="141" spans="1:6" hidden="1" x14ac:dyDescent="0.3">
      <c r="A141" s="3">
        <v>150</v>
      </c>
      <c r="B141" s="4" t="s">
        <v>771</v>
      </c>
      <c r="C141" s="2" t="str">
        <f t="shared" si="6"/>
        <v>150</v>
      </c>
      <c r="D141" s="2" t="s">
        <v>965</v>
      </c>
      <c r="E141" s="2" t="str">
        <f t="shared" si="8"/>
        <v>438</v>
      </c>
      <c r="F141" s="2" t="e">
        <f t="shared" si="7"/>
        <v>#N/A</v>
      </c>
    </row>
    <row r="142" spans="1:6" hidden="1" x14ac:dyDescent="0.3">
      <c r="A142" s="3">
        <v>344</v>
      </c>
      <c r="B142" s="4" t="s">
        <v>772</v>
      </c>
      <c r="C142" s="2" t="str">
        <f t="shared" si="6"/>
        <v>344</v>
      </c>
      <c r="D142" s="2" t="s">
        <v>966</v>
      </c>
      <c r="E142" s="2" t="str">
        <f t="shared" si="8"/>
        <v>440</v>
      </c>
      <c r="F142" s="2" t="e">
        <f t="shared" si="7"/>
        <v>#N/A</v>
      </c>
    </row>
    <row r="143" spans="1:6" hidden="1" x14ac:dyDescent="0.3">
      <c r="A143" s="3">
        <v>362</v>
      </c>
      <c r="B143" s="4" t="s">
        <v>773</v>
      </c>
      <c r="C143" s="2" t="str">
        <f t="shared" si="6"/>
        <v>362</v>
      </c>
      <c r="D143" s="2" t="s">
        <v>967</v>
      </c>
      <c r="E143" s="2" t="str">
        <f t="shared" si="8"/>
        <v>450</v>
      </c>
      <c r="F143" s="2" t="e">
        <f t="shared" si="7"/>
        <v>#N/A</v>
      </c>
    </row>
    <row r="144" spans="1:6" hidden="1" x14ac:dyDescent="0.3">
      <c r="A144" s="3">
        <v>420</v>
      </c>
      <c r="B144" s="4" t="s">
        <v>774</v>
      </c>
      <c r="C144" s="2" t="str">
        <f t="shared" si="6"/>
        <v>420</v>
      </c>
      <c r="D144" s="2" t="s">
        <v>968</v>
      </c>
      <c r="E144" s="2" t="str">
        <f t="shared" si="8"/>
        <v>451</v>
      </c>
      <c r="F144" s="2" t="e">
        <f t="shared" si="7"/>
        <v>#N/A</v>
      </c>
    </row>
    <row r="145" spans="1:6" hidden="1" x14ac:dyDescent="0.3">
      <c r="A145" s="3">
        <v>469</v>
      </c>
      <c r="B145" s="4" t="s">
        <v>775</v>
      </c>
      <c r="C145" s="2" t="str">
        <f t="shared" si="6"/>
        <v>469</v>
      </c>
      <c r="D145" s="2" t="s">
        <v>969</v>
      </c>
      <c r="E145" s="2" t="str">
        <f t="shared" si="8"/>
        <v>452</v>
      </c>
      <c r="F145" s="2" t="str">
        <f t="shared" si="7"/>
        <v>469</v>
      </c>
    </row>
    <row r="146" spans="1:6" hidden="1" x14ac:dyDescent="0.3">
      <c r="A146" s="3">
        <v>474</v>
      </c>
      <c r="B146" s="4" t="s">
        <v>776</v>
      </c>
      <c r="C146" s="2" t="str">
        <f t="shared" si="6"/>
        <v>474</v>
      </c>
      <c r="D146" s="2" t="s">
        <v>970</v>
      </c>
      <c r="E146" s="2" t="str">
        <f t="shared" si="8"/>
        <v>453</v>
      </c>
      <c r="F146" s="2" t="str">
        <f t="shared" si="7"/>
        <v>474</v>
      </c>
    </row>
    <row r="147" spans="1:6" hidden="1" x14ac:dyDescent="0.3">
      <c r="A147" s="3">
        <v>640</v>
      </c>
      <c r="B147" s="4" t="s">
        <v>777</v>
      </c>
      <c r="C147" s="2" t="str">
        <f t="shared" si="6"/>
        <v>640</v>
      </c>
      <c r="D147" s="2" t="s">
        <v>971</v>
      </c>
      <c r="E147" s="2" t="str">
        <f t="shared" si="8"/>
        <v>455</v>
      </c>
      <c r="F147" s="2" t="str">
        <f t="shared" si="7"/>
        <v>640</v>
      </c>
    </row>
    <row r="148" spans="1:6" hidden="1" x14ac:dyDescent="0.3">
      <c r="A148" s="3">
        <v>312</v>
      </c>
      <c r="B148" s="4" t="s">
        <v>778</v>
      </c>
      <c r="C148" s="2" t="str">
        <f t="shared" si="6"/>
        <v>312</v>
      </c>
      <c r="D148" s="2" t="s">
        <v>972</v>
      </c>
      <c r="E148" s="2" t="str">
        <f t="shared" si="8"/>
        <v>456</v>
      </c>
      <c r="F148" s="2" t="e">
        <f t="shared" si="7"/>
        <v>#N/A</v>
      </c>
    </row>
    <row r="149" spans="1:6" hidden="1" x14ac:dyDescent="0.3">
      <c r="A149" s="3">
        <v>552</v>
      </c>
      <c r="B149" s="4" t="s">
        <v>779</v>
      </c>
      <c r="C149" s="2" t="str">
        <f t="shared" si="6"/>
        <v>552</v>
      </c>
      <c r="D149" s="2" t="s">
        <v>973</v>
      </c>
      <c r="E149" s="2" t="str">
        <f t="shared" si="8"/>
        <v>466</v>
      </c>
      <c r="F149" s="2" t="str">
        <f t="shared" si="7"/>
        <v>552</v>
      </c>
    </row>
    <row r="150" spans="1:6" hidden="1" x14ac:dyDescent="0.3">
      <c r="A150" s="3">
        <v>208</v>
      </c>
      <c r="B150" s="4" t="s">
        <v>780</v>
      </c>
      <c r="C150" s="2" t="str">
        <f t="shared" si="6"/>
        <v>208</v>
      </c>
      <c r="D150" s="2" t="s">
        <v>974</v>
      </c>
      <c r="E150" s="2" t="str">
        <f t="shared" si="8"/>
        <v>468</v>
      </c>
      <c r="F150" s="2" t="e">
        <f t="shared" si="7"/>
        <v>#N/A</v>
      </c>
    </row>
    <row r="151" spans="1:6" hidden="1" x14ac:dyDescent="0.3">
      <c r="A151" s="3">
        <v>428</v>
      </c>
      <c r="B151" s="4" t="s">
        <v>781</v>
      </c>
      <c r="C151" s="2" t="str">
        <f t="shared" si="6"/>
        <v>428</v>
      </c>
      <c r="D151" s="2" t="s">
        <v>974</v>
      </c>
      <c r="E151" s="2" t="str">
        <f t="shared" si="8"/>
        <v>468</v>
      </c>
      <c r="F151" s="2" t="e">
        <f t="shared" si="7"/>
        <v>#N/A</v>
      </c>
    </row>
    <row r="152" spans="1:6" hidden="1" x14ac:dyDescent="0.3">
      <c r="A152" s="5">
        <v>118</v>
      </c>
      <c r="B152" s="6" t="s">
        <v>782</v>
      </c>
      <c r="C152" s="2" t="str">
        <f t="shared" si="6"/>
        <v>118</v>
      </c>
      <c r="D152" s="2" t="s">
        <v>975</v>
      </c>
      <c r="E152" s="2" t="str">
        <f t="shared" si="8"/>
        <v>469</v>
      </c>
      <c r="F152" s="2" t="e">
        <f t="shared" si="7"/>
        <v>#N/A</v>
      </c>
    </row>
    <row r="153" spans="1:6" hidden="1" x14ac:dyDescent="0.3">
      <c r="A153" s="3">
        <v>205</v>
      </c>
      <c r="B153" s="4" t="s">
        <v>783</v>
      </c>
      <c r="C153" s="2" t="str">
        <f t="shared" si="6"/>
        <v>205</v>
      </c>
      <c r="D153" s="2" t="s">
        <v>976</v>
      </c>
      <c r="E153" s="2" t="str">
        <f t="shared" si="8"/>
        <v>470</v>
      </c>
      <c r="F153" s="2" t="e">
        <f t="shared" si="7"/>
        <v>#N/A</v>
      </c>
    </row>
    <row r="154" spans="1:6" hidden="1" x14ac:dyDescent="0.3">
      <c r="A154" s="3">
        <v>480</v>
      </c>
      <c r="B154" s="4" t="s">
        <v>784</v>
      </c>
      <c r="C154" s="2" t="str">
        <f t="shared" si="6"/>
        <v>480</v>
      </c>
      <c r="D154" s="2" t="s">
        <v>977</v>
      </c>
      <c r="E154" s="2" t="str">
        <f t="shared" si="8"/>
        <v>474</v>
      </c>
      <c r="F154" s="2" t="str">
        <f t="shared" si="7"/>
        <v>480</v>
      </c>
    </row>
    <row r="155" spans="1:6" hidden="1" x14ac:dyDescent="0.3">
      <c r="A155" s="3">
        <v>466</v>
      </c>
      <c r="B155" s="4" t="s">
        <v>785</v>
      </c>
      <c r="C155" s="2" t="str">
        <f t="shared" si="6"/>
        <v>466</v>
      </c>
      <c r="D155" s="2" t="s">
        <v>978</v>
      </c>
      <c r="E155" s="2" t="str">
        <f t="shared" si="8"/>
        <v>475</v>
      </c>
      <c r="F155" s="2" t="e">
        <f t="shared" si="7"/>
        <v>#N/A</v>
      </c>
    </row>
    <row r="156" spans="1:6" hidden="1" x14ac:dyDescent="0.3">
      <c r="A156" s="3">
        <v>326</v>
      </c>
      <c r="B156" s="4" t="s">
        <v>786</v>
      </c>
      <c r="C156" s="2" t="str">
        <f t="shared" si="6"/>
        <v>326</v>
      </c>
      <c r="D156" s="2" t="s">
        <v>979</v>
      </c>
      <c r="E156" s="2" t="str">
        <f t="shared" si="8"/>
        <v>476</v>
      </c>
      <c r="F156" s="2" t="str">
        <f t="shared" si="7"/>
        <v>326</v>
      </c>
    </row>
    <row r="157" spans="1:6" hidden="1" x14ac:dyDescent="0.3">
      <c r="A157" s="3">
        <v>504</v>
      </c>
      <c r="B157" s="4" t="s">
        <v>787</v>
      </c>
      <c r="C157" s="2" t="str">
        <f t="shared" si="6"/>
        <v>504</v>
      </c>
      <c r="D157" s="2" t="s">
        <v>980</v>
      </c>
      <c r="E157" s="2" t="str">
        <f t="shared" si="8"/>
        <v>477</v>
      </c>
      <c r="F157" s="2" t="str">
        <f t="shared" si="7"/>
        <v>504</v>
      </c>
    </row>
    <row r="158" spans="1:6" hidden="1" x14ac:dyDescent="0.3">
      <c r="A158" s="3">
        <v>532</v>
      </c>
      <c r="B158" s="4" t="s">
        <v>788</v>
      </c>
      <c r="C158" s="2" t="str">
        <f t="shared" si="6"/>
        <v>532</v>
      </c>
      <c r="D158" s="2" t="s">
        <v>981</v>
      </c>
      <c r="E158" s="2" t="str">
        <f t="shared" si="8"/>
        <v>478</v>
      </c>
      <c r="F158" s="2" t="str">
        <f t="shared" si="7"/>
        <v>532</v>
      </c>
    </row>
    <row r="159" spans="1:6" hidden="1" x14ac:dyDescent="0.3">
      <c r="A159" s="3">
        <v>235</v>
      </c>
      <c r="B159" s="4" t="s">
        <v>789</v>
      </c>
      <c r="C159" s="2" t="str">
        <f t="shared" si="6"/>
        <v>235</v>
      </c>
      <c r="D159" s="2" t="s">
        <v>982</v>
      </c>
      <c r="E159" s="2" t="str">
        <f t="shared" si="8"/>
        <v>479</v>
      </c>
      <c r="F159" s="2" t="e">
        <f t="shared" si="7"/>
        <v>#N/A</v>
      </c>
    </row>
    <row r="160" spans="1:6" hidden="1" x14ac:dyDescent="0.3">
      <c r="A160" s="3">
        <v>212</v>
      </c>
      <c r="B160" s="4" t="s">
        <v>790</v>
      </c>
      <c r="C160" s="2" t="str">
        <f t="shared" si="6"/>
        <v>212</v>
      </c>
      <c r="D160" s="2" t="s">
        <v>983</v>
      </c>
      <c r="E160" s="2" t="str">
        <f t="shared" si="8"/>
        <v>480</v>
      </c>
      <c r="F160" s="2" t="e">
        <f t="shared" si="7"/>
        <v>#N/A</v>
      </c>
    </row>
    <row r="161" spans="1:6" hidden="1" x14ac:dyDescent="0.3">
      <c r="A161" s="3">
        <v>403</v>
      </c>
      <c r="B161" s="4" t="s">
        <v>791</v>
      </c>
      <c r="C161" s="2" t="str">
        <f t="shared" si="6"/>
        <v>403</v>
      </c>
      <c r="D161" s="2" t="s">
        <v>984</v>
      </c>
      <c r="E161" s="2" t="str">
        <f t="shared" si="8"/>
        <v>482</v>
      </c>
      <c r="F161" s="2" t="e">
        <f t="shared" si="7"/>
        <v>#N/A</v>
      </c>
    </row>
    <row r="162" spans="1:6" hidden="1" x14ac:dyDescent="0.3">
      <c r="A162" s="3">
        <v>436</v>
      </c>
      <c r="B162" s="4" t="s">
        <v>792</v>
      </c>
      <c r="C162" s="2" t="str">
        <f t="shared" si="6"/>
        <v>436</v>
      </c>
      <c r="D162" s="2" t="s">
        <v>985</v>
      </c>
      <c r="E162" s="2" t="str">
        <f t="shared" si="8"/>
        <v>484</v>
      </c>
      <c r="F162" s="2" t="e">
        <f t="shared" si="7"/>
        <v>#N/A</v>
      </c>
    </row>
    <row r="163" spans="1:6" hidden="1" x14ac:dyDescent="0.3">
      <c r="A163" s="3">
        <v>530</v>
      </c>
      <c r="B163" s="4" t="s">
        <v>793</v>
      </c>
      <c r="C163" s="2" t="str">
        <f t="shared" si="6"/>
        <v>530</v>
      </c>
      <c r="D163" s="2" t="s">
        <v>986</v>
      </c>
      <c r="E163" s="2" t="str">
        <f t="shared" si="8"/>
        <v>488</v>
      </c>
      <c r="F163" s="2" t="str">
        <f t="shared" si="7"/>
        <v>530</v>
      </c>
    </row>
    <row r="164" spans="1:6" hidden="1" x14ac:dyDescent="0.3">
      <c r="A164" s="3">
        <v>222</v>
      </c>
      <c r="B164" s="4" t="s">
        <v>794</v>
      </c>
      <c r="C164" s="2" t="str">
        <f t="shared" si="6"/>
        <v>222</v>
      </c>
      <c r="D164" s="2" t="s">
        <v>987</v>
      </c>
      <c r="E164" s="2" t="str">
        <f t="shared" si="8"/>
        <v>500</v>
      </c>
      <c r="F164" s="2" t="e">
        <f t="shared" si="7"/>
        <v>#N/A</v>
      </c>
    </row>
    <row r="165" spans="1:6" hidden="1" x14ac:dyDescent="0.3">
      <c r="A165" s="3">
        <v>259</v>
      </c>
      <c r="B165" s="4" t="s">
        <v>795</v>
      </c>
      <c r="C165" s="2" t="str">
        <f t="shared" si="6"/>
        <v>259</v>
      </c>
      <c r="D165" s="2" t="s">
        <v>988</v>
      </c>
      <c r="E165" s="2" t="str">
        <f t="shared" si="8"/>
        <v>504</v>
      </c>
      <c r="F165" s="2" t="e">
        <f t="shared" si="7"/>
        <v>#N/A</v>
      </c>
    </row>
    <row r="166" spans="1:6" hidden="1" x14ac:dyDescent="0.3">
      <c r="A166" s="3">
        <v>330</v>
      </c>
      <c r="B166" s="4" t="s">
        <v>796</v>
      </c>
      <c r="C166" s="2" t="str">
        <f t="shared" si="6"/>
        <v>330</v>
      </c>
      <c r="D166" s="2" t="s">
        <v>989</v>
      </c>
      <c r="E166" s="2" t="str">
        <f t="shared" si="8"/>
        <v>508</v>
      </c>
      <c r="F166" s="2" t="e">
        <f t="shared" si="7"/>
        <v>#N/A</v>
      </c>
    </row>
    <row r="167" spans="1:6" hidden="1" x14ac:dyDescent="0.3">
      <c r="A167" s="3">
        <v>476</v>
      </c>
      <c r="B167" s="4" t="s">
        <v>797</v>
      </c>
      <c r="C167" s="2" t="str">
        <f t="shared" si="6"/>
        <v>476</v>
      </c>
      <c r="D167" s="2" t="s">
        <v>990</v>
      </c>
      <c r="E167" s="2" t="str">
        <f t="shared" si="8"/>
        <v>510</v>
      </c>
      <c r="F167" s="2" t="e">
        <f t="shared" si="7"/>
        <v>#N/A</v>
      </c>
    </row>
    <row r="168" spans="1:6" hidden="1" x14ac:dyDescent="0.3">
      <c r="A168" s="3">
        <v>206</v>
      </c>
      <c r="B168" s="4" t="s">
        <v>798</v>
      </c>
      <c r="C168" s="2" t="str">
        <f t="shared" si="6"/>
        <v>206</v>
      </c>
      <c r="D168" s="2" t="s">
        <v>991</v>
      </c>
      <c r="E168" s="2" t="str">
        <f t="shared" si="8"/>
        <v>512</v>
      </c>
      <c r="F168" s="2" t="e">
        <f t="shared" si="7"/>
        <v>#N/A</v>
      </c>
    </row>
    <row r="169" spans="1:6" hidden="1" x14ac:dyDescent="0.3">
      <c r="A169" s="3">
        <v>234</v>
      </c>
      <c r="B169" s="4" t="s">
        <v>799</v>
      </c>
      <c r="C169" s="2" t="str">
        <f t="shared" si="6"/>
        <v>234</v>
      </c>
      <c r="D169" s="2" t="s">
        <v>992</v>
      </c>
      <c r="E169" s="2" t="str">
        <f t="shared" si="8"/>
        <v>513</v>
      </c>
      <c r="F169" s="2" t="e">
        <f t="shared" si="7"/>
        <v>#N/A</v>
      </c>
    </row>
    <row r="170" spans="1:6" hidden="1" x14ac:dyDescent="0.3">
      <c r="A170" s="3">
        <v>257</v>
      </c>
      <c r="B170" s="4" t="s">
        <v>800</v>
      </c>
      <c r="C170" s="2" t="str">
        <f t="shared" si="6"/>
        <v>257</v>
      </c>
      <c r="D170" s="2" t="s">
        <v>993</v>
      </c>
      <c r="E170" s="2" t="str">
        <f t="shared" si="8"/>
        <v>514</v>
      </c>
      <c r="F170" s="2" t="e">
        <f t="shared" si="7"/>
        <v>#N/A</v>
      </c>
    </row>
    <row r="171" spans="1:6" hidden="1" x14ac:dyDescent="0.3">
      <c r="A171" s="3">
        <v>367</v>
      </c>
      <c r="B171" s="4" t="s">
        <v>801</v>
      </c>
      <c r="C171" s="2" t="str">
        <f t="shared" si="6"/>
        <v>367</v>
      </c>
      <c r="D171" s="2" t="s">
        <v>994</v>
      </c>
      <c r="E171" s="2" t="str">
        <f t="shared" si="8"/>
        <v>515</v>
      </c>
      <c r="F171" s="2" t="e">
        <f t="shared" si="7"/>
        <v>#N/A</v>
      </c>
    </row>
    <row r="172" spans="1:6" hidden="1" x14ac:dyDescent="0.3">
      <c r="A172" s="3">
        <v>438</v>
      </c>
      <c r="B172" s="4" t="s">
        <v>802</v>
      </c>
      <c r="C172" s="2" t="str">
        <f t="shared" si="6"/>
        <v>438</v>
      </c>
      <c r="D172" s="2" t="s">
        <v>995</v>
      </c>
      <c r="E172" s="2" t="str">
        <f t="shared" si="8"/>
        <v>517</v>
      </c>
      <c r="F172" s="2" t="e">
        <f t="shared" si="7"/>
        <v>#N/A</v>
      </c>
    </row>
    <row r="173" spans="1:6" hidden="1" x14ac:dyDescent="0.3">
      <c r="A173" s="3">
        <v>453</v>
      </c>
      <c r="B173" s="4" t="s">
        <v>803</v>
      </c>
      <c r="C173" s="2" t="str">
        <f t="shared" si="6"/>
        <v>453</v>
      </c>
      <c r="D173" s="2" t="s">
        <v>996</v>
      </c>
      <c r="E173" s="2" t="str">
        <f t="shared" si="8"/>
        <v>518</v>
      </c>
      <c r="F173" s="2" t="e">
        <f t="shared" si="7"/>
        <v>#N/A</v>
      </c>
    </row>
    <row r="174" spans="1:6" hidden="1" x14ac:dyDescent="0.3">
      <c r="A174" s="3">
        <v>460</v>
      </c>
      <c r="B174" s="4" t="s">
        <v>804</v>
      </c>
      <c r="C174" s="2" t="str">
        <f t="shared" si="6"/>
        <v>460</v>
      </c>
      <c r="D174" s="2" t="s">
        <v>997</v>
      </c>
      <c r="E174" s="2" t="str">
        <f t="shared" si="8"/>
        <v>520</v>
      </c>
      <c r="F174" s="2" t="e">
        <f t="shared" si="7"/>
        <v>#N/A</v>
      </c>
    </row>
    <row r="175" spans="1:6" hidden="1" x14ac:dyDescent="0.3">
      <c r="A175" s="3">
        <v>482</v>
      </c>
      <c r="B175" s="4" t="s">
        <v>805</v>
      </c>
      <c r="C175" s="2" t="str">
        <f t="shared" si="6"/>
        <v>482</v>
      </c>
      <c r="D175" s="2" t="s">
        <v>997</v>
      </c>
      <c r="E175" s="2" t="str">
        <f t="shared" si="8"/>
        <v>520</v>
      </c>
      <c r="F175" s="2" t="e">
        <f t="shared" si="7"/>
        <v>#N/A</v>
      </c>
    </row>
    <row r="176" spans="1:6" hidden="1" x14ac:dyDescent="0.3">
      <c r="A176" s="3">
        <v>486</v>
      </c>
      <c r="B176" s="4" t="s">
        <v>806</v>
      </c>
      <c r="C176" s="2" t="str">
        <f t="shared" si="6"/>
        <v>486</v>
      </c>
      <c r="D176" s="2" t="s">
        <v>998</v>
      </c>
      <c r="E176" s="2" t="str">
        <f t="shared" si="8"/>
        <v>522</v>
      </c>
      <c r="F176" s="2" t="e">
        <f t="shared" si="7"/>
        <v>#N/A</v>
      </c>
    </row>
    <row r="177" spans="1:6" hidden="1" x14ac:dyDescent="0.3">
      <c r="A177" s="3">
        <v>510</v>
      </c>
      <c r="B177" s="4" t="s">
        <v>807</v>
      </c>
      <c r="C177" s="2" t="str">
        <f t="shared" si="6"/>
        <v>510</v>
      </c>
      <c r="D177" s="2" t="s">
        <v>999</v>
      </c>
      <c r="E177" s="2" t="str">
        <f t="shared" si="8"/>
        <v>524</v>
      </c>
      <c r="F177" s="2" t="e">
        <f t="shared" si="7"/>
        <v>#N/A</v>
      </c>
    </row>
    <row r="178" spans="1:6" hidden="1" x14ac:dyDescent="0.3">
      <c r="A178" s="3">
        <v>327</v>
      </c>
      <c r="B178" s="4" t="s">
        <v>808</v>
      </c>
      <c r="C178" s="2" t="str">
        <f t="shared" si="6"/>
        <v>327</v>
      </c>
      <c r="D178" s="2" t="s">
        <v>1000</v>
      </c>
      <c r="E178" s="2" t="str">
        <f t="shared" si="8"/>
        <v>525</v>
      </c>
      <c r="F178" s="2" t="e">
        <f t="shared" si="7"/>
        <v>#N/A</v>
      </c>
    </row>
    <row r="179" spans="1:6" hidden="1" x14ac:dyDescent="0.3">
      <c r="A179" s="3">
        <v>355</v>
      </c>
      <c r="B179" s="4" t="s">
        <v>809</v>
      </c>
      <c r="C179" s="2" t="str">
        <f t="shared" si="6"/>
        <v>355</v>
      </c>
      <c r="D179" s="2" t="s">
        <v>1001</v>
      </c>
      <c r="E179" s="2" t="str">
        <f t="shared" si="8"/>
        <v>529</v>
      </c>
      <c r="F179" s="2" t="e">
        <f t="shared" si="7"/>
        <v>#N/A</v>
      </c>
    </row>
    <row r="180" spans="1:6" hidden="1" x14ac:dyDescent="0.3">
      <c r="A180" s="3">
        <v>450</v>
      </c>
      <c r="B180" s="4" t="s">
        <v>810</v>
      </c>
      <c r="C180" s="2" t="str">
        <f t="shared" si="6"/>
        <v>450</v>
      </c>
      <c r="D180" s="2" t="s">
        <v>1002</v>
      </c>
      <c r="E180" s="2" t="str">
        <f t="shared" si="8"/>
        <v>530</v>
      </c>
      <c r="F180" s="2" t="e">
        <f t="shared" si="7"/>
        <v>#N/A</v>
      </c>
    </row>
    <row r="181" spans="1:6" hidden="1" x14ac:dyDescent="0.3">
      <c r="A181" s="3">
        <v>601</v>
      </c>
      <c r="B181" s="4" t="s">
        <v>811</v>
      </c>
      <c r="C181" s="2" t="str">
        <f t="shared" si="6"/>
        <v>601</v>
      </c>
      <c r="D181" s="2" t="s">
        <v>1003</v>
      </c>
      <c r="E181" s="2" t="str">
        <f t="shared" si="8"/>
        <v>532</v>
      </c>
      <c r="F181" s="2" t="e">
        <f t="shared" si="7"/>
        <v>#N/A</v>
      </c>
    </row>
    <row r="182" spans="1:6" hidden="1" x14ac:dyDescent="0.3">
      <c r="A182" s="3">
        <v>368</v>
      </c>
      <c r="B182" s="4" t="s">
        <v>812</v>
      </c>
      <c r="C182" s="2" t="str">
        <f t="shared" si="6"/>
        <v>368</v>
      </c>
      <c r="D182" s="2" t="s">
        <v>1004</v>
      </c>
      <c r="E182" s="2" t="str">
        <f t="shared" si="8"/>
        <v>534</v>
      </c>
      <c r="F182" s="2" t="e">
        <f t="shared" si="7"/>
        <v>#N/A</v>
      </c>
    </row>
    <row r="183" spans="1:6" hidden="1" x14ac:dyDescent="0.3">
      <c r="A183" s="3">
        <v>418</v>
      </c>
      <c r="B183" s="4" t="s">
        <v>813</v>
      </c>
      <c r="C183" s="2" t="str">
        <f t="shared" si="6"/>
        <v>418</v>
      </c>
      <c r="D183" s="2" t="s">
        <v>1005</v>
      </c>
      <c r="E183" s="2" t="str">
        <f t="shared" si="8"/>
        <v>536</v>
      </c>
      <c r="F183" s="2" t="e">
        <f t="shared" si="7"/>
        <v>#N/A</v>
      </c>
    </row>
    <row r="184" spans="1:6" hidden="1" x14ac:dyDescent="0.3">
      <c r="A184" s="3">
        <v>512</v>
      </c>
      <c r="B184" s="4" t="s">
        <v>814</v>
      </c>
      <c r="C184" s="2" t="str">
        <f t="shared" si="6"/>
        <v>512</v>
      </c>
      <c r="D184" s="2" t="s">
        <v>1006</v>
      </c>
      <c r="E184" s="2" t="str">
        <f t="shared" si="8"/>
        <v>538</v>
      </c>
      <c r="F184" s="2" t="e">
        <f t="shared" si="7"/>
        <v>#N/A</v>
      </c>
    </row>
    <row r="185" spans="1:6" hidden="1" x14ac:dyDescent="0.3">
      <c r="A185" s="3">
        <v>464</v>
      </c>
      <c r="B185" s="4" t="s">
        <v>815</v>
      </c>
      <c r="C185" s="2" t="str">
        <f t="shared" si="6"/>
        <v>464</v>
      </c>
      <c r="D185" s="2" t="s">
        <v>1006</v>
      </c>
      <c r="E185" s="2" t="str">
        <f t="shared" si="8"/>
        <v>538</v>
      </c>
      <c r="F185" s="2" t="e">
        <f t="shared" si="7"/>
        <v>#N/A</v>
      </c>
    </row>
    <row r="186" spans="1:6" hidden="1" x14ac:dyDescent="0.3">
      <c r="A186" s="3">
        <v>346</v>
      </c>
      <c r="B186" s="4" t="s">
        <v>816</v>
      </c>
      <c r="C186" s="2" t="str">
        <f t="shared" si="6"/>
        <v>346</v>
      </c>
      <c r="D186" s="2" t="s">
        <v>1007</v>
      </c>
      <c r="E186" s="2" t="str">
        <f t="shared" si="8"/>
        <v>540</v>
      </c>
      <c r="F186" s="2" t="e">
        <f t="shared" si="7"/>
        <v>#N/A</v>
      </c>
    </row>
    <row r="187" spans="1:6" hidden="1" x14ac:dyDescent="0.3">
      <c r="A187" s="5">
        <v>111</v>
      </c>
      <c r="B187" s="6" t="s">
        <v>817</v>
      </c>
      <c r="C187" s="2" t="str">
        <f t="shared" si="6"/>
        <v>111</v>
      </c>
      <c r="D187" s="2" t="s">
        <v>1007</v>
      </c>
      <c r="E187" s="2" t="str">
        <f t="shared" si="8"/>
        <v>540</v>
      </c>
      <c r="F187" s="2" t="e">
        <f t="shared" si="7"/>
        <v>#N/A</v>
      </c>
    </row>
    <row r="188" spans="1:6" x14ac:dyDescent="0.3">
      <c r="A188" s="3">
        <v>316</v>
      </c>
      <c r="B188" s="4" t="s">
        <v>818</v>
      </c>
      <c r="C188" s="2" t="str">
        <f t="shared" si="6"/>
        <v>316</v>
      </c>
      <c r="D188" s="2" t="s">
        <v>1008</v>
      </c>
      <c r="E188" s="2" t="str">
        <f t="shared" si="8"/>
        <v>544</v>
      </c>
      <c r="F188" s="2" t="e">
        <f t="shared" si="7"/>
        <v>#N/A</v>
      </c>
    </row>
    <row r="189" spans="1:6" x14ac:dyDescent="0.3">
      <c r="A189" s="3">
        <v>318</v>
      </c>
      <c r="B189" s="4" t="s">
        <v>819</v>
      </c>
      <c r="C189" s="2" t="str">
        <f t="shared" si="6"/>
        <v>318</v>
      </c>
      <c r="D189" s="2" t="s">
        <v>1009</v>
      </c>
      <c r="E189" s="2" t="str">
        <f t="shared" si="8"/>
        <v>547</v>
      </c>
      <c r="F189" s="2" t="e">
        <f t="shared" si="7"/>
        <v>#N/A</v>
      </c>
    </row>
    <row r="190" spans="1:6" hidden="1" x14ac:dyDescent="0.3">
      <c r="A190" s="3">
        <v>320</v>
      </c>
      <c r="B190" s="4" t="s">
        <v>820</v>
      </c>
      <c r="C190" s="2" t="str">
        <f t="shared" si="6"/>
        <v>320</v>
      </c>
      <c r="D190" s="2" t="s">
        <v>1010</v>
      </c>
      <c r="E190" s="2" t="str">
        <f t="shared" si="8"/>
        <v>548</v>
      </c>
      <c r="F190" s="2" t="e">
        <f t="shared" si="7"/>
        <v>#N/A</v>
      </c>
    </row>
    <row r="191" spans="1:6" hidden="1" x14ac:dyDescent="0.3">
      <c r="A191" s="3">
        <v>343</v>
      </c>
      <c r="B191" s="4" t="s">
        <v>821</v>
      </c>
      <c r="C191" s="2" t="str">
        <f t="shared" si="6"/>
        <v>343</v>
      </c>
      <c r="D191" s="2" t="s">
        <v>1011</v>
      </c>
      <c r="E191" s="2" t="str">
        <f t="shared" si="8"/>
        <v>550</v>
      </c>
      <c r="F191" s="2" t="e">
        <f t="shared" si="7"/>
        <v>#N/A</v>
      </c>
    </row>
    <row r="192" spans="1:6" hidden="1" x14ac:dyDescent="0.3">
      <c r="A192" s="3">
        <v>422</v>
      </c>
      <c r="B192" s="4" t="s">
        <v>822</v>
      </c>
      <c r="C192" s="2" t="str">
        <f t="shared" si="6"/>
        <v>422</v>
      </c>
      <c r="D192" s="2" t="s">
        <v>1012</v>
      </c>
      <c r="E192" s="2" t="str">
        <f t="shared" si="8"/>
        <v>552</v>
      </c>
      <c r="F192" s="2" t="e">
        <f t="shared" si="7"/>
        <v>#N/A</v>
      </c>
    </row>
    <row r="193" spans="1:6" hidden="1" x14ac:dyDescent="0.3">
      <c r="A193" s="3">
        <v>475</v>
      </c>
      <c r="B193" s="4" t="s">
        <v>823</v>
      </c>
      <c r="C193" s="2" t="str">
        <f t="shared" si="6"/>
        <v>475</v>
      </c>
      <c r="D193" s="2" t="s">
        <v>1013</v>
      </c>
      <c r="E193" s="2" t="str">
        <f t="shared" si="8"/>
        <v>554</v>
      </c>
      <c r="F193" s="2" t="e">
        <f t="shared" si="7"/>
        <v>#N/A</v>
      </c>
    </row>
    <row r="194" spans="1:6" hidden="1" x14ac:dyDescent="0.3">
      <c r="A194" s="3">
        <v>236</v>
      </c>
      <c r="B194" s="4" t="s">
        <v>824</v>
      </c>
      <c r="C194" s="2" t="str">
        <f t="shared" si="6"/>
        <v>236</v>
      </c>
      <c r="D194" s="2" t="s">
        <v>1014</v>
      </c>
      <c r="E194" s="2" t="str">
        <f t="shared" si="8"/>
        <v>556</v>
      </c>
      <c r="F194" s="2" t="e">
        <f t="shared" si="7"/>
        <v>#N/A</v>
      </c>
    </row>
    <row r="195" spans="1:6" hidden="1" x14ac:dyDescent="0.3">
      <c r="A195" s="3">
        <v>229</v>
      </c>
      <c r="B195" s="4" t="s">
        <v>825</v>
      </c>
      <c r="C195" s="2" t="str">
        <f t="shared" ref="C195:C221" si="9">TRIM(A195)</f>
        <v>229</v>
      </c>
      <c r="D195" s="2" t="s">
        <v>1015</v>
      </c>
      <c r="E195" s="2" t="str">
        <f t="shared" si="8"/>
        <v>562</v>
      </c>
      <c r="F195" s="2" t="e">
        <f t="shared" ref="F195:F221" si="10">VLOOKUP(C195,E200:E392,1,FALSE)</f>
        <v>#N/A</v>
      </c>
    </row>
    <row r="196" spans="1:6" hidden="1" x14ac:dyDescent="0.3">
      <c r="A196" s="3">
        <v>416</v>
      </c>
      <c r="B196" s="4" t="s">
        <v>826</v>
      </c>
      <c r="C196" s="2" t="str">
        <f t="shared" si="9"/>
        <v>416</v>
      </c>
      <c r="D196" s="2" t="s">
        <v>1016</v>
      </c>
      <c r="E196" s="2" t="str">
        <f t="shared" si="8"/>
        <v>566</v>
      </c>
      <c r="F196" s="2" t="e">
        <f t="shared" si="10"/>
        <v>#N/A</v>
      </c>
    </row>
    <row r="197" spans="1:6" hidden="1" x14ac:dyDescent="0.3">
      <c r="A197" s="3">
        <v>138</v>
      </c>
      <c r="B197" s="4" t="s">
        <v>827</v>
      </c>
      <c r="C197" s="2" t="str">
        <f t="shared" si="9"/>
        <v>138</v>
      </c>
      <c r="D197" s="2" t="s">
        <v>1017</v>
      </c>
      <c r="E197" s="2" t="str">
        <f t="shared" si="8"/>
        <v>569</v>
      </c>
      <c r="F197" s="2" t="e">
        <f t="shared" si="10"/>
        <v>#N/A</v>
      </c>
    </row>
    <row r="198" spans="1:6" hidden="1" x14ac:dyDescent="0.3">
      <c r="A198" s="3">
        <v>210</v>
      </c>
      <c r="B198" s="4" t="s">
        <v>828</v>
      </c>
      <c r="C198" s="2" t="str">
        <f t="shared" si="9"/>
        <v>210</v>
      </c>
      <c r="D198" s="2" t="s">
        <v>1018</v>
      </c>
      <c r="E198" s="2" t="str">
        <f t="shared" si="8"/>
        <v>640</v>
      </c>
      <c r="F198" s="2" t="e">
        <f t="shared" si="10"/>
        <v>#N/A</v>
      </c>
    </row>
    <row r="199" spans="1:6" hidden="1" x14ac:dyDescent="0.3">
      <c r="A199" s="14">
        <v>220</v>
      </c>
      <c r="B199" s="15" t="s">
        <v>829</v>
      </c>
      <c r="C199" s="2" t="str">
        <f t="shared" si="9"/>
        <v>220</v>
      </c>
      <c r="D199" s="2" t="s">
        <v>1019</v>
      </c>
      <c r="E199" s="2" t="str">
        <f t="shared" si="8"/>
        <v>650</v>
      </c>
      <c r="F199" s="2" t="e">
        <f t="shared" si="10"/>
        <v>#N/A</v>
      </c>
    </row>
    <row r="200" spans="1:6" hidden="1" x14ac:dyDescent="0.3">
      <c r="A200" s="3">
        <v>240</v>
      </c>
      <c r="B200" s="4" t="s">
        <v>830</v>
      </c>
      <c r="C200" s="2" t="str">
        <f t="shared" si="9"/>
        <v>240</v>
      </c>
      <c r="D200" s="2" t="s">
        <v>1020</v>
      </c>
      <c r="E200" s="2" t="str">
        <f t="shared" ref="E200:E221" si="11">RIGHT(D200,3)</f>
        <v>326</v>
      </c>
      <c r="F200" s="2" t="e">
        <f t="shared" si="10"/>
        <v>#N/A</v>
      </c>
    </row>
    <row r="201" spans="1:6" hidden="1" x14ac:dyDescent="0.3">
      <c r="A201" s="3">
        <v>241</v>
      </c>
      <c r="B201" s="4" t="s">
        <v>831</v>
      </c>
      <c r="C201" s="2" t="str">
        <f t="shared" si="9"/>
        <v>241</v>
      </c>
      <c r="D201" s="2" t="s">
        <v>1021</v>
      </c>
      <c r="E201" s="2" t="str">
        <f t="shared" si="11"/>
        <v>age</v>
      </c>
      <c r="F201" s="2" t="e">
        <f t="shared" si="10"/>
        <v>#N/A</v>
      </c>
    </row>
    <row r="202" spans="1:6" hidden="1" x14ac:dyDescent="0.3">
      <c r="A202" s="3">
        <v>246</v>
      </c>
      <c r="B202" s="7" t="s">
        <v>832</v>
      </c>
      <c r="C202" s="2" t="str">
        <f t="shared" si="9"/>
        <v>246</v>
      </c>
      <c r="E202" s="2" t="str">
        <f t="shared" si="11"/>
        <v/>
      </c>
      <c r="F202" s="2" t="e">
        <f t="shared" si="10"/>
        <v>#N/A</v>
      </c>
    </row>
    <row r="203" spans="1:6" hidden="1" x14ac:dyDescent="0.3">
      <c r="A203" s="3">
        <v>360</v>
      </c>
      <c r="B203" s="4" t="s">
        <v>833</v>
      </c>
      <c r="C203" s="2" t="str">
        <f t="shared" si="9"/>
        <v>360</v>
      </c>
      <c r="E203" s="2" t="str">
        <f t="shared" si="11"/>
        <v/>
      </c>
      <c r="F203" s="2" t="e">
        <f t="shared" si="10"/>
        <v>#N/A</v>
      </c>
    </row>
    <row r="204" spans="1:6" hidden="1" x14ac:dyDescent="0.3">
      <c r="A204" s="3">
        <v>415</v>
      </c>
      <c r="B204" s="4" t="s">
        <v>834</v>
      </c>
      <c r="C204" s="2" t="str">
        <f t="shared" si="9"/>
        <v>415</v>
      </c>
      <c r="E204" s="2" t="str">
        <f t="shared" si="11"/>
        <v/>
      </c>
      <c r="F204" s="2" t="e">
        <f t="shared" si="10"/>
        <v>#N/A</v>
      </c>
    </row>
    <row r="205" spans="1:6" hidden="1" x14ac:dyDescent="0.3">
      <c r="A205" s="3">
        <v>444</v>
      </c>
      <c r="B205" s="4" t="s">
        <v>835</v>
      </c>
      <c r="C205" s="2" t="str">
        <f t="shared" si="9"/>
        <v>444</v>
      </c>
      <c r="E205" s="2" t="str">
        <f t="shared" si="11"/>
        <v/>
      </c>
      <c r="F205" s="2" t="e">
        <f t="shared" si="10"/>
        <v>#N/A</v>
      </c>
    </row>
    <row r="206" spans="1:6" hidden="1" x14ac:dyDescent="0.3">
      <c r="A206" s="3">
        <v>454</v>
      </c>
      <c r="B206" s="4" t="s">
        <v>836</v>
      </c>
      <c r="C206" s="2" t="str">
        <f t="shared" si="9"/>
        <v>454</v>
      </c>
      <c r="E206" s="2" t="str">
        <f t="shared" si="11"/>
        <v/>
      </c>
      <c r="F206" s="2" t="e">
        <f t="shared" si="10"/>
        <v>#N/A</v>
      </c>
    </row>
    <row r="207" spans="1:6" hidden="1" x14ac:dyDescent="0.3">
      <c r="A207" s="3">
        <v>462</v>
      </c>
      <c r="B207" s="4" t="s">
        <v>837</v>
      </c>
      <c r="C207" s="2" t="str">
        <f t="shared" si="9"/>
        <v>462</v>
      </c>
      <c r="E207" s="2" t="str">
        <f t="shared" si="11"/>
        <v/>
      </c>
      <c r="F207" s="2" t="e">
        <f t="shared" si="10"/>
        <v>#N/A</v>
      </c>
    </row>
    <row r="208" spans="1:6" hidden="1" x14ac:dyDescent="0.3">
      <c r="A208" s="3">
        <v>502</v>
      </c>
      <c r="B208" s="4" t="s">
        <v>838</v>
      </c>
      <c r="C208" s="2" t="str">
        <f t="shared" si="9"/>
        <v>502</v>
      </c>
      <c r="E208" s="2" t="str">
        <f t="shared" si="11"/>
        <v/>
      </c>
      <c r="F208" s="2" t="e">
        <f t="shared" si="10"/>
        <v>#N/A</v>
      </c>
    </row>
    <row r="209" spans="1:6" hidden="1" x14ac:dyDescent="0.3">
      <c r="A209" s="3">
        <v>506</v>
      </c>
      <c r="B209" s="4" t="s">
        <v>839</v>
      </c>
      <c r="C209" s="2" t="str">
        <f t="shared" si="9"/>
        <v>506</v>
      </c>
      <c r="E209" s="2" t="str">
        <f t="shared" si="11"/>
        <v/>
      </c>
      <c r="F209" s="2" t="e">
        <f t="shared" si="10"/>
        <v>#N/A</v>
      </c>
    </row>
    <row r="210" spans="1:6" hidden="1" x14ac:dyDescent="0.3">
      <c r="A210" s="3">
        <v>516</v>
      </c>
      <c r="B210" s="4" t="s">
        <v>840</v>
      </c>
      <c r="C210" s="2" t="str">
        <f t="shared" si="9"/>
        <v>516</v>
      </c>
      <c r="E210" s="2" t="str">
        <f t="shared" si="11"/>
        <v/>
      </c>
      <c r="F210" s="2" t="e">
        <f t="shared" si="10"/>
        <v>#N/A</v>
      </c>
    </row>
    <row r="211" spans="1:6" hidden="1" x14ac:dyDescent="0.3">
      <c r="A211" s="3">
        <v>551</v>
      </c>
      <c r="B211" s="4" t="s">
        <v>841</v>
      </c>
      <c r="C211" s="2" t="str">
        <f t="shared" si="9"/>
        <v>551</v>
      </c>
      <c r="E211" s="2" t="str">
        <f t="shared" si="11"/>
        <v/>
      </c>
      <c r="F211" s="2" t="e">
        <f t="shared" si="10"/>
        <v>#N/A</v>
      </c>
    </row>
    <row r="212" spans="1:6" hidden="1" x14ac:dyDescent="0.3">
      <c r="A212" s="3">
        <v>559</v>
      </c>
      <c r="B212" s="4" t="s">
        <v>842</v>
      </c>
      <c r="C212" s="2" t="str">
        <f t="shared" si="9"/>
        <v>559</v>
      </c>
      <c r="E212" s="2" t="str">
        <f t="shared" si="11"/>
        <v/>
      </c>
      <c r="F212" s="2" t="e">
        <f t="shared" si="10"/>
        <v>#N/A</v>
      </c>
    </row>
    <row r="213" spans="1:6" hidden="1" x14ac:dyDescent="0.3">
      <c r="A213" s="3">
        <v>560</v>
      </c>
      <c r="B213" s="4" t="s">
        <v>843</v>
      </c>
      <c r="C213" s="2" t="str">
        <f t="shared" si="9"/>
        <v>560</v>
      </c>
      <c r="E213" s="2" t="str">
        <f t="shared" si="11"/>
        <v/>
      </c>
      <c r="F213" s="2" t="e">
        <f t="shared" si="10"/>
        <v>#N/A</v>
      </c>
    </row>
    <row r="214" spans="1:6" hidden="1" x14ac:dyDescent="0.3">
      <c r="A214" s="3">
        <v>601</v>
      </c>
      <c r="B214" s="4" t="s">
        <v>844</v>
      </c>
      <c r="C214" s="2" t="str">
        <f t="shared" si="9"/>
        <v>601</v>
      </c>
      <c r="E214" s="2" t="str">
        <f t="shared" si="11"/>
        <v/>
      </c>
      <c r="F214" s="2" t="e">
        <f t="shared" si="10"/>
        <v>#N/A</v>
      </c>
    </row>
    <row r="215" spans="1:6" hidden="1" x14ac:dyDescent="0.3">
      <c r="A215" s="3">
        <v>602</v>
      </c>
      <c r="B215" s="4" t="s">
        <v>845</v>
      </c>
      <c r="C215" s="2" t="str">
        <f t="shared" si="9"/>
        <v>602</v>
      </c>
      <c r="E215" s="2" t="str">
        <f t="shared" si="11"/>
        <v/>
      </c>
      <c r="F215" s="2" t="e">
        <f t="shared" si="10"/>
        <v>#N/A</v>
      </c>
    </row>
    <row r="216" spans="1:6" hidden="1" x14ac:dyDescent="0.3">
      <c r="A216" s="3">
        <v>603</v>
      </c>
      <c r="B216" s="4" t="s">
        <v>846</v>
      </c>
      <c r="C216" s="2" t="str">
        <f t="shared" si="9"/>
        <v>603</v>
      </c>
      <c r="E216" s="2" t="str">
        <f t="shared" si="11"/>
        <v/>
      </c>
      <c r="F216" s="2" t="e">
        <f t="shared" si="10"/>
        <v>#N/A</v>
      </c>
    </row>
    <row r="217" spans="1:6" hidden="1" x14ac:dyDescent="0.3">
      <c r="A217" s="3">
        <v>604</v>
      </c>
      <c r="B217" s="4" t="s">
        <v>847</v>
      </c>
      <c r="C217" s="2" t="str">
        <f t="shared" si="9"/>
        <v>604</v>
      </c>
      <c r="E217" s="2" t="str">
        <f t="shared" si="11"/>
        <v/>
      </c>
      <c r="F217" s="2" t="e">
        <f t="shared" si="10"/>
        <v>#N/A</v>
      </c>
    </row>
    <row r="218" spans="1:6" hidden="1" x14ac:dyDescent="0.3">
      <c r="A218" s="3">
        <v>605</v>
      </c>
      <c r="B218" s="4" t="s">
        <v>848</v>
      </c>
      <c r="C218" s="2" t="str">
        <f t="shared" si="9"/>
        <v>605</v>
      </c>
      <c r="E218" s="2" t="str">
        <f t="shared" si="11"/>
        <v/>
      </c>
      <c r="F218" s="2" t="e">
        <f t="shared" si="10"/>
        <v>#N/A</v>
      </c>
    </row>
    <row r="219" spans="1:6" hidden="1" x14ac:dyDescent="0.3">
      <c r="A219" s="3">
        <v>606</v>
      </c>
      <c r="B219" s="4" t="s">
        <v>849</v>
      </c>
      <c r="C219" s="2" t="str">
        <f t="shared" si="9"/>
        <v>606</v>
      </c>
      <c r="E219" s="2" t="str">
        <f t="shared" si="11"/>
        <v/>
      </c>
      <c r="F219" s="2" t="e">
        <f t="shared" si="10"/>
        <v>#N/A</v>
      </c>
    </row>
    <row r="220" spans="1:6" hidden="1" x14ac:dyDescent="0.3">
      <c r="A220" s="3">
        <v>607</v>
      </c>
      <c r="B220" s="4" t="s">
        <v>850</v>
      </c>
      <c r="C220" s="2" t="str">
        <f t="shared" si="9"/>
        <v>607</v>
      </c>
      <c r="E220" s="2" t="str">
        <f t="shared" si="11"/>
        <v/>
      </c>
      <c r="F220" s="2" t="e">
        <f t="shared" si="10"/>
        <v>#N/A</v>
      </c>
    </row>
    <row r="221" spans="1:6" hidden="1" x14ac:dyDescent="0.3">
      <c r="A221" s="20">
        <v>660</v>
      </c>
      <c r="B221" s="21" t="s">
        <v>851</v>
      </c>
      <c r="C221" s="2" t="str">
        <f t="shared" si="9"/>
        <v>660</v>
      </c>
      <c r="E221" s="2" t="str">
        <f t="shared" si="11"/>
        <v/>
      </c>
      <c r="F221" s="2" t="e">
        <f t="shared" si="10"/>
        <v>#N/A</v>
      </c>
    </row>
  </sheetData>
  <autoFilter ref="A1:F221" xr:uid="{92D473CA-7A35-46AE-BD4C-1316DDA9A60D}">
    <filterColumn colId="0">
      <filters>
        <filter val="316"/>
        <filter val="318"/>
      </filters>
    </filterColumn>
    <filterColumn colId="5">
      <filters>
        <filter val="#N/A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9E95-C550-46A4-8104-B97621D88D5A}">
  <sheetPr filterMode="1"/>
  <dimension ref="A1:C88"/>
  <sheetViews>
    <sheetView tabSelected="1" workbookViewId="0">
      <selection activeCell="F56" sqref="F56"/>
    </sheetView>
  </sheetViews>
  <sheetFormatPr defaultRowHeight="14.4" x14ac:dyDescent="0.3"/>
  <cols>
    <col min="1" max="1" width="33" style="2" bestFit="1" customWidth="1"/>
    <col min="2" max="2" width="30.5546875" bestFit="1" customWidth="1"/>
  </cols>
  <sheetData>
    <row r="1" spans="1:3" x14ac:dyDescent="0.3">
      <c r="A1" s="2" t="s">
        <v>0</v>
      </c>
      <c r="B1" t="s">
        <v>1022</v>
      </c>
    </row>
    <row r="2" spans="1:3" hidden="1" x14ac:dyDescent="0.3">
      <c r="A2" s="2" t="s">
        <v>1</v>
      </c>
      <c r="B2" t="str">
        <f>VLOOKUP(A2,'new Sector'!A:A,1,FALSE)</f>
        <v>BALLANTINE HALL</v>
      </c>
    </row>
    <row r="3" spans="1:3" x14ac:dyDescent="0.3">
      <c r="A3" s="2" t="s">
        <v>2</v>
      </c>
      <c r="B3" s="2" t="e">
        <f>VLOOKUP(A3,'new Sector'!A:A,1,FALSE)</f>
        <v>#N/A</v>
      </c>
      <c r="C3" t="s">
        <v>1024</v>
      </c>
    </row>
    <row r="4" spans="1:3" hidden="1" x14ac:dyDescent="0.3">
      <c r="A4" s="2" t="s">
        <v>3</v>
      </c>
      <c r="B4" s="2" t="str">
        <f>VLOOKUP(A4,'new Sector'!A:A,1,FALSE)</f>
        <v>FRANKLIN HALL</v>
      </c>
    </row>
    <row r="5" spans="1:3" hidden="1" x14ac:dyDescent="0.3">
      <c r="A5" s="2" t="s">
        <v>4</v>
      </c>
      <c r="B5" s="2" t="str">
        <f>VLOOKUP(A5,'new Sector'!A:A,1,FALSE)</f>
        <v>GLOBAL &amp; INTL STUDIES BLDG</v>
      </c>
    </row>
    <row r="6" spans="1:3" hidden="1" x14ac:dyDescent="0.3">
      <c r="A6" s="2" t="s">
        <v>6</v>
      </c>
      <c r="B6" s="2" t="str">
        <f>VLOOKUP(A6,'new Sector'!A:A,1,FALSE)</f>
        <v>HODGE HALL (BUSINESS SCHOOL)</v>
      </c>
    </row>
    <row r="7" spans="1:3" hidden="1" x14ac:dyDescent="0.3">
      <c r="A7" s="2" t="s">
        <v>7</v>
      </c>
      <c r="B7" s="2" t="str">
        <f>VLOOKUP(A7,'new Sector'!A:A,1,FALSE)</f>
        <v>KIRKWOOD HALL</v>
      </c>
    </row>
    <row r="8" spans="1:3" x14ac:dyDescent="0.3">
      <c r="A8" s="2" t="s">
        <v>8</v>
      </c>
      <c r="B8" s="2" t="e">
        <f>VLOOKUP(A8,'new Sector'!A:A,1,FALSE)</f>
        <v>#N/A</v>
      </c>
    </row>
    <row r="9" spans="1:3" hidden="1" x14ac:dyDescent="0.3">
      <c r="A9" s="2" t="s">
        <v>9</v>
      </c>
      <c r="B9" s="2" t="str">
        <f>VLOOKUP(A9,'new Sector'!A:A,1,FALSE)</f>
        <v>LINDLEY HALL</v>
      </c>
    </row>
    <row r="10" spans="1:3" hidden="1" x14ac:dyDescent="0.3">
      <c r="A10" s="2" t="s">
        <v>10</v>
      </c>
      <c r="B10" s="2" t="str">
        <f>VLOOKUP(A10,'new Sector'!A:A,1,FALSE)</f>
        <v>LUDDY HALL (INFORMATICS)</v>
      </c>
    </row>
    <row r="11" spans="1:3" hidden="1" x14ac:dyDescent="0.3">
      <c r="A11" s="2" t="s">
        <v>11</v>
      </c>
      <c r="B11" s="2" t="str">
        <f>VLOOKUP(A11,'new Sector'!A:A,1,FALSE)</f>
        <v>PSYCHOLOGY</v>
      </c>
    </row>
    <row r="12" spans="1:3" hidden="1" x14ac:dyDescent="0.3">
      <c r="A12" s="2" t="s">
        <v>12</v>
      </c>
      <c r="B12" s="2" t="str">
        <f>VLOOKUP(A12,'new Sector'!A:A,1,FALSE)</f>
        <v>SCHOOL OF PUBLIC HEALTH</v>
      </c>
    </row>
    <row r="13" spans="1:3" hidden="1" x14ac:dyDescent="0.3">
      <c r="A13" s="2" t="s">
        <v>13</v>
      </c>
      <c r="B13" s="2" t="str">
        <f>VLOOKUP(A13,'new Sector'!A:A,1,FALSE)</f>
        <v>SIMON MSC LBR REC</v>
      </c>
    </row>
    <row r="14" spans="1:3" hidden="1" x14ac:dyDescent="0.3">
      <c r="A14" s="2" t="s">
        <v>14</v>
      </c>
      <c r="B14" s="2" t="str">
        <f>VLOOKUP(A14,'new Sector'!A:A,1,FALSE)</f>
        <v>SPEA</v>
      </c>
    </row>
    <row r="15" spans="1:3" hidden="1" x14ac:dyDescent="0.3">
      <c r="A15" s="2" t="s">
        <v>15</v>
      </c>
      <c r="B15" s="2" t="str">
        <f>VLOOKUP(A15,'new Sector'!A:A,1,FALSE)</f>
        <v>SPRUCE HALL</v>
      </c>
    </row>
    <row r="16" spans="1:3" x14ac:dyDescent="0.3">
      <c r="A16" s="2" t="s">
        <v>16</v>
      </c>
      <c r="B16" s="2" t="e">
        <f>VLOOKUP(A16,'new Sector'!A:A,1,FALSE)</f>
        <v>#N/A</v>
      </c>
      <c r="C16" t="s">
        <v>1025</v>
      </c>
    </row>
    <row r="17" spans="1:3" hidden="1" x14ac:dyDescent="0.3">
      <c r="A17" s="2" t="s">
        <v>17</v>
      </c>
      <c r="B17" s="2" t="str">
        <f>VLOOKUP(A17,'new Sector'!A:A,1,FALSE)</f>
        <v>WENDELL W. WRIGHT</v>
      </c>
    </row>
    <row r="18" spans="1:3" hidden="1" x14ac:dyDescent="0.3">
      <c r="A18" s="2" t="s">
        <v>18</v>
      </c>
      <c r="B18" s="2" t="str">
        <f>VLOOKUP(A18,'new Sector'!A:A,1,FALSE)</f>
        <v>WOODBURN HALL</v>
      </c>
    </row>
    <row r="19" spans="1:3" hidden="1" x14ac:dyDescent="0.3">
      <c r="A19" s="2" t="s">
        <v>19</v>
      </c>
      <c r="B19" s="2" t="str">
        <f>VLOOKUP(A19,'new Sector'!A:A,1,FALSE)</f>
        <v>WYLIE HALL</v>
      </c>
    </row>
    <row r="20" spans="1:3" x14ac:dyDescent="0.3">
      <c r="A20" s="2" t="s">
        <v>20</v>
      </c>
      <c r="B20" s="2" t="e">
        <f>VLOOKUP(A20,'new Sector'!A:A,1,FALSE)</f>
        <v>#N/A</v>
      </c>
      <c r="C20" t="s">
        <v>1025</v>
      </c>
    </row>
    <row r="21" spans="1:3" hidden="1" x14ac:dyDescent="0.3">
      <c r="A21" s="2" t="s">
        <v>28</v>
      </c>
      <c r="B21" s="2" t="str">
        <f>VLOOKUP(A21,'new Sector'!A:A,1,FALSE)</f>
        <v>GODFREY GRAD&amp;EXEC ED CTR</v>
      </c>
    </row>
    <row r="22" spans="1:3" hidden="1" x14ac:dyDescent="0.3">
      <c r="A22" s="2" t="s">
        <v>34</v>
      </c>
      <c r="B22" s="2" t="str">
        <f>VLOOKUP(A22,'new Sector'!A:A,1,FALSE)</f>
        <v>SIMON SKJODT ASSEMBLY HALL</v>
      </c>
    </row>
    <row r="23" spans="1:3" hidden="1" x14ac:dyDescent="0.3">
      <c r="A23" s="2" t="s">
        <v>40</v>
      </c>
      <c r="B23" s="2" t="str">
        <f>VLOOKUP(A23,'new Sector'!A:A,1,FALSE)</f>
        <v>LOWELL E. BAIER HALL</v>
      </c>
    </row>
    <row r="24" spans="1:3" x14ac:dyDescent="0.3">
      <c r="A24" s="2" t="s">
        <v>37</v>
      </c>
      <c r="B24" s="2" t="e">
        <f>VLOOKUP(A24,'new Sector'!A:A,1,FALSE)</f>
        <v>#N/A</v>
      </c>
      <c r="C24" t="s">
        <v>1024</v>
      </c>
    </row>
    <row r="25" spans="1:3" hidden="1" x14ac:dyDescent="0.3">
      <c r="A25" s="2" t="s">
        <v>41</v>
      </c>
      <c r="B25" s="2" t="str">
        <f>VLOOKUP(A25,'new Sector'!A:A,1,FALSE)</f>
        <v>4TH &amp; INDIANA-LEWIS BLDG</v>
      </c>
    </row>
    <row r="26" spans="1:3" hidden="1" x14ac:dyDescent="0.3">
      <c r="A26" s="2" t="s">
        <v>47</v>
      </c>
      <c r="B26" s="2" t="str">
        <f>VLOOKUP(A26,'new Sector'!A:A,1,FALSE)</f>
        <v>AUDITORIUM</v>
      </c>
    </row>
    <row r="27" spans="1:3" hidden="1" x14ac:dyDescent="0.3">
      <c r="A27" s="2" t="s">
        <v>48</v>
      </c>
      <c r="B27" s="2" t="str">
        <f>VLOOKUP(A27,'new Sector'!A:A,1,FALSE)</f>
        <v>BILL GARRETT FIELDHOUSE</v>
      </c>
    </row>
    <row r="28" spans="1:3" hidden="1" x14ac:dyDescent="0.3">
      <c r="A28" s="2" t="s">
        <v>49</v>
      </c>
      <c r="B28" s="2" t="str">
        <f>VLOOKUP(A28,'new Sector'!A:A,1,FALSE)</f>
        <v>BIOLOGY BUILDING</v>
      </c>
    </row>
    <row r="29" spans="1:3" hidden="1" x14ac:dyDescent="0.3">
      <c r="A29" s="2" t="s">
        <v>51</v>
      </c>
      <c r="B29" s="2" t="str">
        <f>VLOOKUP(A29,'new Sector'!A:A,1,FALSE)</f>
        <v>BRISCOE QUAD</v>
      </c>
    </row>
    <row r="30" spans="1:3" hidden="1" x14ac:dyDescent="0.3">
      <c r="A30" s="2" t="s">
        <v>52</v>
      </c>
      <c r="B30" s="2" t="str">
        <f>VLOOKUP(A30,'new Sector'!A:A,1,FALSE)</f>
        <v>CEDAR HALL</v>
      </c>
    </row>
    <row r="31" spans="1:3" hidden="1" x14ac:dyDescent="0.3">
      <c r="A31" s="2" t="s">
        <v>53</v>
      </c>
      <c r="B31" s="2" t="str">
        <f>VLOOKUP(A31,'new Sector'!A:A,1,FALSE)</f>
        <v>CHEMISTRY</v>
      </c>
    </row>
    <row r="32" spans="1:3" hidden="1" x14ac:dyDescent="0.3">
      <c r="A32" s="2" t="s">
        <v>54</v>
      </c>
      <c r="B32" s="2" t="str">
        <f>VLOOKUP(A32,'new Sector'!A:A,1,FALSE)</f>
        <v>CHEMISTRY ADDITION</v>
      </c>
    </row>
    <row r="33" spans="1:3" hidden="1" x14ac:dyDescent="0.3">
      <c r="A33" s="2" t="s">
        <v>55</v>
      </c>
      <c r="B33" s="2" t="str">
        <f>VLOOKUP(A33,'new Sector'!A:A,1,FALSE)</f>
        <v>CLASSROOM-OFFICE BUILDING</v>
      </c>
    </row>
    <row r="34" spans="1:3" hidden="1" x14ac:dyDescent="0.3">
      <c r="A34" s="2" t="s">
        <v>61</v>
      </c>
      <c r="B34" s="2" t="str">
        <f>VLOOKUP(A34,'new Sector'!A:A,1,FALSE)</f>
        <v>EAST STUDIO BUILDING</v>
      </c>
    </row>
    <row r="35" spans="1:3" hidden="1" x14ac:dyDescent="0.3">
      <c r="A35" s="2" t="s">
        <v>62</v>
      </c>
      <c r="B35" s="2" t="str">
        <f>VLOOKUP(A35,'new Sector'!A:A,1,FALSE)</f>
        <v>EDMONDSON HALL</v>
      </c>
    </row>
    <row r="36" spans="1:3" hidden="1" x14ac:dyDescent="0.3">
      <c r="A36" s="2" t="s">
        <v>65</v>
      </c>
      <c r="B36" s="2" t="str">
        <f>VLOOKUP(A36,'new Sector'!A:A,1,FALSE)</f>
        <v>ERNIE PYLE HALL</v>
      </c>
    </row>
    <row r="37" spans="1:3" x14ac:dyDescent="0.3">
      <c r="A37" s="2" t="s">
        <v>67</v>
      </c>
      <c r="B37" s="2" t="e">
        <f>VLOOKUP(A37,'new Sector'!A:A,1,FALSE)</f>
        <v>#N/A</v>
      </c>
    </row>
    <row r="38" spans="1:3" hidden="1" x14ac:dyDescent="0.3">
      <c r="A38" s="2" t="s">
        <v>68</v>
      </c>
      <c r="B38" s="2" t="str">
        <f>VLOOKUP(A38,'new Sector'!A:A,1,FALSE)</f>
        <v>ESKENAZI WOOD AND METAL SHOP</v>
      </c>
    </row>
    <row r="39" spans="1:3" hidden="1" x14ac:dyDescent="0.3">
      <c r="A39" s="2" t="s">
        <v>70</v>
      </c>
      <c r="B39" s="2" t="str">
        <f>VLOOKUP(A39,'new Sector'!A:A,1,FALSE)</f>
        <v>FINE ARTS</v>
      </c>
    </row>
    <row r="40" spans="1:3" hidden="1" x14ac:dyDescent="0.3">
      <c r="A40" s="2" t="s">
        <v>71</v>
      </c>
      <c r="B40" s="2" t="str">
        <f>VLOOKUP(A40,'new Sector'!A:A,1,FALSE)</f>
        <v>FOREST QUAD</v>
      </c>
    </row>
    <row r="41" spans="1:3" hidden="1" x14ac:dyDescent="0.3">
      <c r="A41" s="2" t="s">
        <v>72</v>
      </c>
      <c r="B41" s="2" t="str">
        <f>VLOOKUP(A41,'new Sector'!A:A,1,FALSE)</f>
        <v>GEOLOGICAL SCIENCES</v>
      </c>
    </row>
    <row r="42" spans="1:3" hidden="1" x14ac:dyDescent="0.3">
      <c r="A42" s="2" t="s">
        <v>73</v>
      </c>
      <c r="B42" s="2" t="str">
        <f>VLOOKUP(A42,'new Sector'!A:A,1,FALSE)</f>
        <v>GRESHAM DINING HALL</v>
      </c>
    </row>
    <row r="43" spans="1:3" hidden="1" x14ac:dyDescent="0.3">
      <c r="A43" s="2" t="s">
        <v>77</v>
      </c>
      <c r="B43" s="2" t="str">
        <f>VLOOKUP(A43,'new Sector'!A:A,1,FALSE)</f>
        <v>HUTTON HONORS COLLEGE</v>
      </c>
    </row>
    <row r="44" spans="1:3" hidden="1" x14ac:dyDescent="0.3">
      <c r="A44" s="2" t="s">
        <v>78</v>
      </c>
      <c r="B44" s="2" t="str">
        <f>VLOOKUP(A44,'new Sector'!A:A,1,FALSE)</f>
        <v>HILLEL CENTER</v>
      </c>
    </row>
    <row r="45" spans="1:3" x14ac:dyDescent="0.3">
      <c r="A45" s="2" t="s">
        <v>81</v>
      </c>
      <c r="B45" s="2" t="e">
        <f>VLOOKUP(A45,'new Sector'!A:A,1,FALSE)</f>
        <v>#N/A</v>
      </c>
    </row>
    <row r="46" spans="1:3" hidden="1" x14ac:dyDescent="0.3">
      <c r="A46" s="2" t="s">
        <v>93</v>
      </c>
      <c r="B46" s="2" t="str">
        <f>VLOOKUP(A46,'new Sector'!A:A,1,FALSE)</f>
        <v>LUDDY CENTER FOR AI</v>
      </c>
    </row>
    <row r="47" spans="1:3" x14ac:dyDescent="0.3">
      <c r="A47" s="2" t="s">
        <v>95</v>
      </c>
      <c r="B47" s="2" t="e">
        <f>VLOOKUP(A47,'new Sector'!A:A,1,FALSE)</f>
        <v>#N/A</v>
      </c>
      <c r="C47" t="s">
        <v>1025</v>
      </c>
    </row>
    <row r="48" spans="1:3" hidden="1" x14ac:dyDescent="0.3">
      <c r="A48" s="2" t="s">
        <v>97</v>
      </c>
      <c r="B48" s="2" t="str">
        <f>VLOOKUP(A48,'new Sector'!A:A,1,FALSE)</f>
        <v>MCNUTT CENTRAL</v>
      </c>
    </row>
    <row r="49" spans="1:3" hidden="1" x14ac:dyDescent="0.3">
      <c r="A49" s="2" t="s">
        <v>99</v>
      </c>
      <c r="B49" s="2" t="str">
        <f>VLOOKUP(A49,'new Sector'!A:A,1,FALSE)</f>
        <v>MERRILL HALL</v>
      </c>
    </row>
    <row r="50" spans="1:3" hidden="1" x14ac:dyDescent="0.3">
      <c r="A50" s="2" t="s">
        <v>101</v>
      </c>
      <c r="B50" s="2" t="str">
        <f>VLOOKUP(A50,'new Sector'!A:A,1,FALSE)</f>
        <v>MORRISON HALL</v>
      </c>
    </row>
    <row r="51" spans="1:3" hidden="1" x14ac:dyDescent="0.3">
      <c r="A51" s="2" t="s">
        <v>102</v>
      </c>
      <c r="B51" s="2" t="str">
        <f>VLOOKUP(A51,'new Sector'!A:A,1,FALSE)</f>
        <v>MUSIC ADDITION</v>
      </c>
    </row>
    <row r="52" spans="1:3" hidden="1" x14ac:dyDescent="0.3">
      <c r="A52" s="2" t="s">
        <v>103</v>
      </c>
      <c r="B52" s="2" t="str">
        <f>VLOOKUP(A52,'new Sector'!A:A,1,FALSE)</f>
        <v>MUSICAL ARTS CENTER</v>
      </c>
    </row>
    <row r="53" spans="1:3" hidden="1" x14ac:dyDescent="0.3">
      <c r="A53" s="2" t="s">
        <v>104</v>
      </c>
      <c r="B53" s="2" t="str">
        <f>VLOOKUP(A53,'new Sector'!A:A,1,FALSE)</f>
        <v>MYERS HALL</v>
      </c>
    </row>
    <row r="54" spans="1:3" hidden="1" x14ac:dyDescent="0.3">
      <c r="A54" s="2" t="s">
        <v>105</v>
      </c>
      <c r="B54" s="2" t="str">
        <f>VLOOKUP(A54,'new Sector'!A:A,1,FALSE)</f>
        <v>MYLES BRAND HALL</v>
      </c>
    </row>
    <row r="55" spans="1:3" hidden="1" x14ac:dyDescent="0.3">
      <c r="A55" s="2" t="s">
        <v>109</v>
      </c>
      <c r="B55" s="2" t="str">
        <f>VLOOKUP(A55,'new Sector'!A:A,1,FALSE)</f>
        <v>OPTOMETRY SCHOOL</v>
      </c>
    </row>
    <row r="56" spans="1:3" x14ac:dyDescent="0.3">
      <c r="A56" s="2" t="s">
        <v>110</v>
      </c>
      <c r="B56" s="2" t="e">
        <f>VLOOKUP(A56,'new Sector'!A:A,1,FALSE)</f>
        <v>#N/A</v>
      </c>
      <c r="C56" t="s">
        <v>1024</v>
      </c>
    </row>
    <row r="57" spans="1:3" hidden="1" x14ac:dyDescent="0.3">
      <c r="A57" s="2" t="s">
        <v>112</v>
      </c>
      <c r="B57" s="2" t="str">
        <f>VLOOKUP(A57,'new Sector'!A:A,1,FALSE)</f>
        <v>RADIO-TV</v>
      </c>
    </row>
    <row r="58" spans="1:3" hidden="1" x14ac:dyDescent="0.3">
      <c r="A58" s="2" t="s">
        <v>114</v>
      </c>
      <c r="B58" s="2" t="str">
        <f>VLOOKUP(A58,'new Sector'!A:A,1,FALSE)</f>
        <v>RAWLES HALL</v>
      </c>
    </row>
    <row r="59" spans="1:3" hidden="1" x14ac:dyDescent="0.3">
      <c r="A59" s="2" t="s">
        <v>115</v>
      </c>
      <c r="B59" s="2" t="str">
        <f>VLOOKUP(A59,'new Sector'!A:A,1,FALSE)</f>
        <v>READ HALL</v>
      </c>
    </row>
    <row r="60" spans="1:3" hidden="1" x14ac:dyDescent="0.3">
      <c r="A60" s="2" t="s">
        <v>116</v>
      </c>
      <c r="B60" s="2" t="str">
        <f>VLOOKUP(A60,'new Sector'!A:A,1,FALSE)</f>
        <v>RECREATIONAL SPORTS</v>
      </c>
    </row>
    <row r="61" spans="1:3" hidden="1" x14ac:dyDescent="0.3">
      <c r="A61" s="2" t="s">
        <v>122</v>
      </c>
      <c r="B61" s="2" t="str">
        <f>VLOOKUP(A61,'new Sector'!A:A,1,FALSE)</f>
        <v>SIMON HALL (SCIENCE)</v>
      </c>
    </row>
    <row r="62" spans="1:3" hidden="1" x14ac:dyDescent="0.3">
      <c r="A62" s="2" t="s">
        <v>123</v>
      </c>
      <c r="B62" s="2" t="str">
        <f>VLOOKUP(A62,'new Sector'!A:A,1,FALSE)</f>
        <v>SOCIAL RESEARCH</v>
      </c>
    </row>
    <row r="63" spans="1:3" hidden="1" x14ac:dyDescent="0.3">
      <c r="A63" s="2" t="s">
        <v>126</v>
      </c>
      <c r="B63" s="2" t="str">
        <f>VLOOKUP(A63,'new Sector'!A:A,1,FALSE)</f>
        <v>STUDENT SERVICES</v>
      </c>
    </row>
    <row r="64" spans="1:3" hidden="1" x14ac:dyDescent="0.3">
      <c r="A64" s="2" t="s">
        <v>127</v>
      </c>
      <c r="B64" s="2" t="str">
        <f>VLOOKUP(A64,'new Sector'!A:A,1,FALSE)</f>
        <v>STUDIO ARTS ANNEX</v>
      </c>
    </row>
    <row r="65" spans="1:2" hidden="1" x14ac:dyDescent="0.3">
      <c r="A65" s="2" t="s">
        <v>128</v>
      </c>
      <c r="B65" s="2" t="str">
        <f>VLOOKUP(A65,'new Sector'!A:A,1,FALSE)</f>
        <v>SWAIN EAST</v>
      </c>
    </row>
    <row r="66" spans="1:2" hidden="1" x14ac:dyDescent="0.3">
      <c r="A66" s="2" t="s">
        <v>129</v>
      </c>
      <c r="B66" s="2" t="str">
        <f>VLOOKUP(A66,'new Sector'!A:A,1,FALSE)</f>
        <v>SWAIN WEST</v>
      </c>
    </row>
    <row r="67" spans="1:2" hidden="1" x14ac:dyDescent="0.3">
      <c r="A67" s="2" t="s">
        <v>130</v>
      </c>
      <c r="B67" s="2" t="str">
        <f>VLOOKUP(A67,'new Sector'!A:A,1,FALSE)</f>
        <v>TETER QUAD</v>
      </c>
    </row>
    <row r="68" spans="1:2" hidden="1" x14ac:dyDescent="0.3">
      <c r="A68" s="2" t="s">
        <v>131</v>
      </c>
      <c r="B68" s="2" t="str">
        <f>VLOOKUP(A68,'new Sector'!A:A,1,FALSE)</f>
        <v>THE HEALTH SCIENCES BUILDING</v>
      </c>
    </row>
    <row r="69" spans="1:2" hidden="1" x14ac:dyDescent="0.3">
      <c r="A69" s="2" t="s">
        <v>137</v>
      </c>
      <c r="B69" s="2" t="str">
        <f>VLOOKUP(A69,'new Sector'!A:A,1,FALSE)</f>
        <v>WELLS LIBRARY</v>
      </c>
    </row>
    <row r="70" spans="1:2" hidden="1" x14ac:dyDescent="0.3">
      <c r="A70" s="2" t="s">
        <v>140</v>
      </c>
      <c r="B70" s="2" t="str">
        <f>VLOOKUP(A70,'new Sector'!A:A,1,FALSE)</f>
        <v>WILLKIE C</v>
      </c>
    </row>
    <row r="71" spans="1:2" hidden="1" x14ac:dyDescent="0.3">
      <c r="A71" s="2" t="s">
        <v>141</v>
      </c>
      <c r="B71" s="2" t="str">
        <f>VLOOKUP(A71,'new Sector'!A:A,1,FALSE)</f>
        <v>WRIGHT QUAD</v>
      </c>
    </row>
    <row r="72" spans="1:2" hidden="1" x14ac:dyDescent="0.3">
      <c r="A72" s="2" t="s">
        <v>147</v>
      </c>
      <c r="B72" s="2" t="str">
        <f>VLOOKUP(A72,'new Sector'!A:A,1,FALSE)</f>
        <v>HARLOS HOUSE</v>
      </c>
    </row>
    <row r="73" spans="1:2" x14ac:dyDescent="0.3">
      <c r="A73" s="2" t="s">
        <v>149</v>
      </c>
      <c r="B73" s="2" t="e">
        <f>VLOOKUP(A73,'new Sector'!A:A,1,FALSE)</f>
        <v>#N/A</v>
      </c>
    </row>
    <row r="74" spans="1:2" hidden="1" x14ac:dyDescent="0.3">
      <c r="A74" s="2" t="s">
        <v>152</v>
      </c>
      <c r="B74" s="2" t="str">
        <f>VLOOKUP(A74,'new Sector'!A:A,1,FALSE)</f>
        <v>LILLY LIBRARY</v>
      </c>
    </row>
    <row r="75" spans="1:2" hidden="1" x14ac:dyDescent="0.3">
      <c r="A75" s="2" t="s">
        <v>157</v>
      </c>
      <c r="B75" s="2" t="str">
        <f>VLOOKUP(A75,'new Sector'!A:A,1,FALSE)</f>
        <v>HILLCREST</v>
      </c>
    </row>
    <row r="76" spans="1:2" hidden="1" x14ac:dyDescent="0.3">
      <c r="A76" s="2" t="s">
        <v>158</v>
      </c>
      <c r="B76" s="2" t="str">
        <f>VLOOKUP(A76,'new Sector'!A:A,1,FALSE)</f>
        <v>MCCALLA</v>
      </c>
    </row>
    <row r="77" spans="1:2" hidden="1" x14ac:dyDescent="0.3">
      <c r="A77" s="2" t="s">
        <v>161</v>
      </c>
      <c r="B77" s="2" t="str">
        <f>VLOOKUP(A77,'new Sector'!A:A,1,FALSE)</f>
        <v>701 E 8TH ST</v>
      </c>
    </row>
    <row r="78" spans="1:2" hidden="1" x14ac:dyDescent="0.3">
      <c r="A78" s="2" t="s">
        <v>162</v>
      </c>
      <c r="B78" s="2" t="str">
        <f>VLOOKUP(A78,'new Sector'!A:A,1,FALSE)</f>
        <v>GLADSTEIN FIELDHOUSE</v>
      </c>
    </row>
    <row r="79" spans="1:2" hidden="1" x14ac:dyDescent="0.3">
      <c r="A79" s="2" t="s">
        <v>164</v>
      </c>
      <c r="B79" s="2" t="str">
        <f>VLOOKUP(A79,'new Sector'!A:A,1,FALSE)</f>
        <v>IN MEMORIAL UNION</v>
      </c>
    </row>
    <row r="80" spans="1:2" hidden="1" x14ac:dyDescent="0.3">
      <c r="A80" s="2" t="s">
        <v>166</v>
      </c>
      <c r="B80" s="2" t="str">
        <f>VLOOKUP(A80,'new Sector'!A:A,1,FALSE)</f>
        <v>SYCAMORE HALL</v>
      </c>
    </row>
    <row r="81" spans="1:3" hidden="1" x14ac:dyDescent="0.3">
      <c r="A81" s="2" t="s">
        <v>170</v>
      </c>
      <c r="B81" s="2" t="str">
        <f>VLOOKUP(A81,'new Sector'!A:A,1,FALSE)</f>
        <v>MARTIN HALL</v>
      </c>
    </row>
    <row r="82" spans="1:3" hidden="1" x14ac:dyDescent="0.3">
      <c r="A82" s="2" t="s">
        <v>171</v>
      </c>
      <c r="B82" s="2" t="str">
        <f>VLOOKUP(A82,'new Sector'!A:A,1,FALSE)</f>
        <v>MULTI SCIENCE 2</v>
      </c>
    </row>
    <row r="83" spans="1:3" x14ac:dyDescent="0.3">
      <c r="A83" s="2" t="s">
        <v>173</v>
      </c>
      <c r="B83" s="2" t="e">
        <f>VLOOKUP(A83,'new Sector'!A:A,1,FALSE)</f>
        <v>#N/A</v>
      </c>
    </row>
    <row r="84" spans="1:3" hidden="1" x14ac:dyDescent="0.3">
      <c r="A84" s="2" t="s">
        <v>177</v>
      </c>
      <c r="B84" s="2" t="str">
        <f>VLOOKUP(A84,'new Sector'!A:A,1,FALSE)</f>
        <v>EIGENMANN HALL</v>
      </c>
    </row>
    <row r="85" spans="1:3" hidden="1" x14ac:dyDescent="0.3">
      <c r="A85" s="2" t="s">
        <v>178</v>
      </c>
      <c r="B85" s="2" t="str">
        <f>VLOOKUP(A85,'new Sector'!A:A,1,FALSE)</f>
        <v>814 E 3RD ST</v>
      </c>
    </row>
    <row r="86" spans="1:3" hidden="1" x14ac:dyDescent="0.3">
      <c r="A86" s="2" t="s">
        <v>180</v>
      </c>
      <c r="B86" s="2" t="str">
        <f>VLOOKUP(A86,'new Sector'!A:A,1,FALSE)</f>
        <v>IU CINEMA</v>
      </c>
    </row>
    <row r="87" spans="1:3" x14ac:dyDescent="0.3">
      <c r="A87" s="2" t="s">
        <v>181</v>
      </c>
      <c r="B87" s="2" t="e">
        <f>VLOOKUP(A87,'new Sector'!A:A,1,FALSE)</f>
        <v>#N/A</v>
      </c>
      <c r="C87" t="s">
        <v>1023</v>
      </c>
    </row>
    <row r="88" spans="1:3" hidden="1" x14ac:dyDescent="0.3">
      <c r="A88" s="2" t="s">
        <v>183</v>
      </c>
      <c r="B88" s="2" t="str">
        <f>VLOOKUP(A88,'new Sector'!A:A,1,FALSE)</f>
        <v>MAXWELL HALL</v>
      </c>
    </row>
  </sheetData>
  <autoFilter ref="A1:C249267" xr:uid="{4B9A9E95-C550-46A4-8104-B97621D88D5A}">
    <filterColumn colId="1">
      <filters blank="1">
        <filter val="#N/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Analysis</vt:lpstr>
      <vt:lpstr>Enrollment</vt:lpstr>
      <vt:lpstr>Building</vt:lpstr>
      <vt:lpstr>Distance</vt:lpstr>
      <vt:lpstr>Sector</vt:lpstr>
      <vt:lpstr>new Sector</vt:lpstr>
      <vt:lpstr>Sheet7</vt:lpstr>
      <vt:lpstr>New_Enrollment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Harsh</dc:creator>
  <cp:lastModifiedBy>Gupta, Harsh</cp:lastModifiedBy>
  <dcterms:created xsi:type="dcterms:W3CDTF">2024-11-13T05:29:01Z</dcterms:created>
  <dcterms:modified xsi:type="dcterms:W3CDTF">2024-11-14T08:40:01Z</dcterms:modified>
</cp:coreProperties>
</file>